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Fede\Downloads\"/>
    </mc:Choice>
  </mc:AlternateContent>
  <xr:revisionPtr revIDLastSave="0" documentId="13_ncr:1_{58D00116-7F62-4BF6-98CE-6CF7F89379DE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Catálogo Subcategorías" sheetId="1" r:id="rId1"/>
    <sheet name="Copys por Categoría y Resumen" sheetId="2" r:id="rId2"/>
  </sheets>
  <definedNames>
    <definedName name="_xlnm._FilterDatabase" localSheetId="0" hidden="1">'Catálogo Subcategorías'!$A$1:$E$87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B25" i="2" l="1"/>
  <c r="E24" i="2"/>
  <c r="D24" i="2"/>
  <c r="E23" i="2"/>
  <c r="D23" i="2"/>
  <c r="E22" i="2"/>
  <c r="D22" i="2"/>
  <c r="E21" i="2"/>
  <c r="D21" i="2"/>
  <c r="E20" i="2"/>
  <c r="D20" i="2"/>
  <c r="E19" i="2"/>
  <c r="D19" i="2"/>
  <c r="E18" i="2"/>
  <c r="D18" i="2"/>
  <c r="E17" i="2"/>
  <c r="D17" i="2"/>
  <c r="E16" i="2"/>
  <c r="D16" i="2"/>
  <c r="E15" i="2"/>
  <c r="D15" i="2"/>
  <c r="E14" i="2"/>
  <c r="D14" i="2"/>
  <c r="E13" i="2"/>
  <c r="D13" i="2"/>
  <c r="E12" i="2"/>
  <c r="D12" i="2"/>
  <c r="E11" i="2"/>
  <c r="D11" i="2"/>
  <c r="E10" i="2"/>
  <c r="D10" i="2"/>
  <c r="E9" i="2"/>
  <c r="D9" i="2"/>
  <c r="E8" i="2"/>
  <c r="D8" i="2"/>
  <c r="E7" i="2"/>
  <c r="D7" i="2"/>
  <c r="E6" i="2"/>
  <c r="D6" i="2"/>
  <c r="E5" i="2"/>
  <c r="E25" i="2" s="1"/>
  <c r="D5" i="2"/>
  <c r="D25" i="2" l="1"/>
</calcChain>
</file>

<file path=xl/sharedStrings.xml><?xml version="1.0" encoding="utf-8"?>
<sst xmlns="http://schemas.openxmlformats.org/spreadsheetml/2006/main" count="485" uniqueCount="229">
  <si>
    <t>ID</t>
  </si>
  <si>
    <t>Categoría / Familia</t>
  </si>
  <si>
    <t>Subcategoría</t>
  </si>
  <si>
    <t>Copy comercial de Subcategoría (2 a 3 líneas)</t>
  </si>
  <si>
    <t>Longitud (Caract.)</t>
  </si>
  <si>
    <t>Estado</t>
  </si>
  <si>
    <t>Acero inoxidable</t>
  </si>
  <si>
    <t>Chapas de acero inoxidable</t>
  </si>
  <si>
    <t>Superficies de alta resistencia a la corrosión y máxima higiene, ideales para fabricar mesadas gastronómicas, tanques, revestimientos de cocinas y equipamiento médico o alimenticio. Las eligen metalúrgicas, fabricantes de equipamiento comercial, arquitectos y particulares que buscan durabilidad con una terminación impecable.</t>
  </si>
  <si>
    <t>Soluciones en acero inoxidable de máxima durabilidad, higiene y resistencia a la corrosión, ideales para la industria alimenticia, gastronómica, química y proyectos arquitectónicos de alta exigencia estética.</t>
  </si>
  <si>
    <t>Listo</t>
  </si>
  <si>
    <t>Caños de acero inoxidable</t>
  </si>
  <si>
    <t>Conductos y tubos diseñados para soportar ambientes húmedos, intemperie o el paso de fluidos sin oxidarse, muy utilizados en barandas modernas, pasamanos, escapes e instalaciones sanitarias o alimenticias. Son requeridos por herreros de obra fina, industrias lácteas o frigoríficas y constructores.</t>
  </si>
  <si>
    <t>Acero inoxidable: varios</t>
  </si>
  <si>
    <t>Línea de accesorios, barras, planchuelas y elementos de fijación o unión en acero inoxidable que garantizan un armado íntegro sin riesgo de oxidación en ningún punto del proyecto. Ideales para torneros, montajistas industriales y herreros que necesitan terminaciones limpias y resistentes al exterior.</t>
  </si>
  <si>
    <t>Aislantes</t>
  </si>
  <si>
    <t>Complementos para aislantes</t>
  </si>
  <si>
    <t>Cintas aluminizadas de sellado, redes plásticas de sostén y accesorios indispensables para instalar membranas y mantas aislantes de forma prolija, firme y sin puentes térmicos. Los compran techistas, galponeros y particulares para asegurar que la aislación del techo funcione al 100% y no filtre humedad.</t>
  </si>
  <si>
    <t>Materiales de aislación térmica, acústica e hidrófuga diseñados para proteger techos, galpones y viviendas, mejorando el confort interior y reduciendo el consumo de energía durante todo el año.</t>
  </si>
  <si>
    <t>Lana de Vidrio</t>
  </si>
  <si>
    <t>Espuma de Polietileno</t>
  </si>
  <si>
    <t>Alambres y clavos</t>
  </si>
  <si>
    <t>Alambres</t>
  </si>
  <si>
    <t>Alambres dulces recocidos y galvanizados de gran maleabilidad y resistencia, fundamentales en cualquier obra para el atado de armaduras de hierro, sujeción de encofrados, fardos y usos generales en el hogar o taller. Son un insumo diario para albañiles, contratistas, herreros y ferreteros.</t>
  </si>
  <si>
    <t>Insumos básicos de sujeción, atado y cerramiento con la resistencia necesaria para el trabajo diario en obras de construcción, el agro, la industria y el taller.</t>
  </si>
  <si>
    <t>Alambres Rurales</t>
  </si>
  <si>
    <t>Alambres de alta y mediana resistencia —lisos y de púas— diseñados especialmente para soportar la tensión y el clima extremo en el armado de alambrados perimetrales y divisores de potreros. Los eligen productores agropecuarios, alambradores profesionales y propietarios de lotes o quintas.</t>
  </si>
  <si>
    <t>Clavos</t>
  </si>
  <si>
    <t>Accesorios para alambrados</t>
  </si>
  <si>
    <t>Torniquetes, tensores, varillas, ganchos y complementos necesarios para dar tensión, firmeza y larga vida útil a los cercos rurales y perimetrales. Son adquiridos por alambradores, productores rurales y empresas constructoras que realizan cerramientos de predios y barrios abiertos.</t>
  </si>
  <si>
    <t>Aluminios</t>
  </si>
  <si>
    <t>Complementos para perfilería de aluminio</t>
  </si>
  <si>
    <t>Escuadras, burletes, felpas, cierres, rodamientos y accesorios específicos para el armado y sellado hermético de ventanas, puertas y cerramientos de aluminio. Pensados especialmente para carpinteros de aluminio, instaladores de aberturas y personal de mantenimiento edilicio.</t>
  </si>
  <si>
    <t>Perfiles, chapas, caños y barras de aluminio que combinan máxima ligereza, excelente terminación superficial y resistencia natural a la oxidación para aberturas, carrocerías y proyectos de diseño.</t>
  </si>
  <si>
    <t>Chapas de Aluminio</t>
  </si>
  <si>
    <t>Láminas livianas, maleables e inoxidables —lisas o labradas antideslizantes— que se utilizan en revestimientos, pisos de casillas rodantes, furgones térmicos, cartelería y zinguería especial. Las compran carroceros, fabricantes de equipamiento gastronómico, publicistas y metalúrgicas.</t>
  </si>
  <si>
    <t>Perfilería de aluminio</t>
  </si>
  <si>
    <t>Perfiles livianos y libres de mantenimiento diseñados para la fabricación de aberturas (ventanas, puertas, mosquiteros), divisores de oficinas, vitrinas y terminaciones arquitectónicas. Son el insumo principal de carpinteros metálicos, vidrierías, arquitectos y constructores.</t>
  </si>
  <si>
    <t>Macizos de aluminio</t>
  </si>
  <si>
    <t>Barras y planchuelas macizas de aluminio de excelente maquinabilidad y conductividad, utilizadas para fabricar piezas mecanizadas, bujes, moldes, matrices y componentes eléctricos o náuticos. Las adquieren tornerías, talleres de mecanizado CNC, industrias y técnicos de mantenimiento.</t>
  </si>
  <si>
    <t>Caños de aluminio</t>
  </si>
  <si>
    <t>Tubos sumamente livianos y resistentes a la intemperie, fáciles de cortar y manipular para estructuras livianas, toldos, antenas, mobiliario de exterior, náutica y barandas. Muy buscados por herreros, fabricantes de muebles o loneras y particulares para proyectos a medida.</t>
  </si>
  <si>
    <t>Ángulos, planchuelas y perfiles T/U</t>
  </si>
  <si>
    <t>Perfil U</t>
  </si>
  <si>
    <t>Perfiles laminados de sección en "U" de tamaño chico y mediano, ideales para armar guías de portones corredizos, marcos de aberturas, bastidores de maquinaria y refuerzos en herrería. Los compran a diario herreros, metalúrgicas agrícolas y talleres de mantenimiento industrial.</t>
  </si>
  <si>
    <t>La línea más versátil de hierros laminados para herrería, estructuras metálicas, agroindustria y mantenimiento, disponibles en múltiples medidas para adaptarse a cada corte y soldadura.</t>
  </si>
  <si>
    <t>Planchuelas</t>
  </si>
  <si>
    <t>Ángulos</t>
  </si>
  <si>
    <t>Perfil T</t>
  </si>
  <si>
    <t>Perfil de sección en forma de "T" muy utilizado para dividir paños de vidrios en ventanales de estilo industrial, armar guías, estructurar cielorrasos, cercos y parrillas. Es requerido principalmente por herreros, carpinteros metálicos, constructores y diseñadores de mobiliario.</t>
  </si>
  <si>
    <t>Planchuelas SAE 1045</t>
  </si>
  <si>
    <t>Planchuelas perforadas</t>
  </si>
  <si>
    <t>Planchuelas que ya vienen punzonadas de fábrica para pasar barras redondas o cuadradas, ahorrando horas de perforado en el armado de rejas de seguridad, portones y balcones. Son las favoritas de los herreros de obra y particulares que buscan armar rejas rápido y con alineación perfecta.</t>
  </si>
  <si>
    <t>Caños</t>
  </si>
  <si>
    <t>Conducción</t>
  </si>
  <si>
    <t>Tubos de acero redondos, cuadrados y rectangulares pensados para resolver desde estructuras livianas y herrería moderna hasta conducciones de fluidos y grandes obras de ingeniería.</t>
  </si>
  <si>
    <t>Uso mecánico</t>
  </si>
  <si>
    <t>Estructural</t>
  </si>
  <si>
    <t>Caños redondos, cuadrados y rectangulares livianos y resistentes, que por su estética prolija y facilidad de soldadura son los más usados en portones, pérgolas, galerías, estructuras de techos, cartelería y muebles estilo industrial. Los eligen herreros, constructores, arquitectos y particulares.</t>
  </si>
  <si>
    <t>Estructural pesado</t>
  </si>
  <si>
    <t>Chapas conformadas</t>
  </si>
  <si>
    <t>Chapa conformada Cincalum</t>
  </si>
  <si>
    <t>Chapas acanaladas y trapezoidales listas para montar en techos y cerramientos laterales de viviendas, galpones comerciales e instalaciones industriales, con máxima protección climática.</t>
  </si>
  <si>
    <t>Chapas conformadas plásticas</t>
  </si>
  <si>
    <t>Chapas conformadas de color</t>
  </si>
  <si>
    <t>Chapas lisas</t>
  </si>
  <si>
    <t>Antideslizante</t>
  </si>
  <si>
    <t>Hojas y cortes de chapa plana en distintos espesores y acabados para plegado, estampado, herrería, zinguería, carrocería y fabricación metalúrgica en general.</t>
  </si>
  <si>
    <t>Laminada en frío</t>
  </si>
  <si>
    <t>Chapa lisa de color en hojas</t>
  </si>
  <si>
    <t>Hojas planas de acero prepintado listas para cortar y plegar sin perder su color ni su recubrimiento protector. Son ampliamente utilizadas por zingueros, techistas y talleres de plegado para fabricar cenefas, babetas, cumbreras y revestimientos que combinen exactamente con los techos de chapa color.</t>
  </si>
  <si>
    <t>Galvanizada</t>
  </si>
  <si>
    <t>Laminada en caliente</t>
  </si>
  <si>
    <t>Conocida como chapa "LAC" o "chapa negra", está disponible desde espesores finos hasta chapas gruesas pesadas para fabricar piezas estructurales, bases de columnas, tanques, implementos agrícolas, tolvas y chasis. Es el insumo clave de talleres metalúrgicos, fábricas de maquinaria, herreros y constructoras.</t>
  </si>
  <si>
    <t>Cincalum</t>
  </si>
  <si>
    <t>Complementos de herrería</t>
  </si>
  <si>
    <t>Herrajes</t>
  </si>
  <si>
    <t>Bisagras munición, pasadores, cerraduras, cajas para cerraduras, manijones y cerrojos diseñados para soldar o atornillar en puertas, portones y ventanas metálicas. Son comprados a diario por herreros, cerrajeros, personal de mantenimiento y particulares que reparan o fabrican aberturas.</t>
  </si>
  <si>
    <t>Todos los componentes mecánicos, decorativos y funcionales para que herreros y particulares armen portones, puertas, rejas y cerramientos seguros y con excelente terminación.</t>
  </si>
  <si>
    <t>Complementos para portones</t>
  </si>
  <si>
    <t>Ornamentales</t>
  </si>
  <si>
    <t>Puntas de lanza para rejas, rosetas, rizos, barrotes forjados y apliques decorativos de hierro que aportan estilo clásico y mayor seguridad perimetral a rejas, balcones y portones. Los eligen herreros artísticos y propietarios que buscan embellecer o reforzar el frente de su vivienda.</t>
  </si>
  <si>
    <t>Chapa perforada / decorativa</t>
  </si>
  <si>
    <t>Chapas con perforaciones redondas, cuadradas o diseños calados que permiten el paso de aire y luz manteniendo la privacidad y la seguridad; se usan en frentes de portones, barandas de balcones, fachadas arquitectónicas, filtros y zarandas. Muy buscadas por arquitectos, herreros modernos, diseñadores e industrias.</t>
  </si>
  <si>
    <t>Complementos para chapas de techo</t>
  </si>
  <si>
    <t>Zinguería</t>
  </si>
  <si>
    <t>Soluciones de terminación, desagüe, ventilación y sellado para lograr techos de chapa 100% herméticos, prolijos y funcionales tanto en hogares como en naves industriales.</t>
  </si>
  <si>
    <t>Canaletas</t>
  </si>
  <si>
    <t>Conductos receptores de agua de lluvia que se instalan en los aleros del techo para encauzar el desagüe de forma ordenada, cuidando las paredes, cimientos y veredas de la humedad. Las compran techistas, zingueros, constructores y particulares para viviendas, galerías y galpones.</t>
  </si>
  <si>
    <t>Extractores eólicos</t>
  </si>
  <si>
    <t>Compriband</t>
  </si>
  <si>
    <t>Ferretería</t>
  </si>
  <si>
    <t>Láminas y telas plásticas</t>
  </si>
  <si>
    <t>Insumos consumibles, abrasivos, elementos de protección, herramientas de medición y accesorios industriales para acompañar cada etapa del trabajo en obra y en el taller metalúrgico.</t>
  </si>
  <si>
    <t>Chapas plásticas / policarbonato</t>
  </si>
  <si>
    <t>Placas alveolares o compactas de policarbonato y chapas plásticas resistentes al impacto y a los rayos UV, ideales para techar pérgolas, cocheras, aleros, invernaderos y galerías luminosas con diseño moderno. Muy elegidas por herreros, arquitectos y propietarios de viviendas.</t>
  </si>
  <si>
    <t>Chapas para persianas</t>
  </si>
  <si>
    <t>Flejes y tablillas metálicas conformadas (ciegas o microperforadas) diseñadas para el armado y reparación de cortinas metálicas de enrollar que protegen vidrieras, locales comerciales, cocheras y galpones. Las adquieren cortineros, herreros, comerciantes y consorcios.</t>
  </si>
  <si>
    <t>Revisar / Ajustar</t>
  </si>
  <si>
    <t>Accesorios de fundición</t>
  </si>
  <si>
    <t>Piezas robustas de hierro o aluminio fundido —como rejillas de desagüe, tapas, bocas de tormenta y apliques clásicos— que ofrecen gran resistencia al peso, al tránsito y a la intemperie. Las eligen albañiles, plomeros, arquitectos, municipios y particulares.</t>
  </si>
  <si>
    <t>Cables de Acero</t>
  </si>
  <si>
    <t>Cables trenzados de alambre de acero de alta resistencia a la tracción, utilizados para izaje de cargas, aparejos, tensores de estructuras, portones levadizos, gimnasios y barandas modernas de diseño. Los compran industrias, empresas constructoras, herreros, transportistas y el sector agropecuario.</t>
  </si>
  <si>
    <t>Accesorios para cables y cadenas</t>
  </si>
  <si>
    <t>Grilletes, sujetacables (prensacables), tensores, guardacabos y ganchos que permiten armar eslingas, fijar tensores y asegurar cargas con total confiabilidad mecánica. Indispensables para montajistas, herreros, transportistas, industrias y talleres mecánicos.</t>
  </si>
  <si>
    <t>Soldadura</t>
  </si>
  <si>
    <t>Seguridad</t>
  </si>
  <si>
    <t>Elementos de protección personal (EPP) como caretas de soldar, antiparras, protectores auditivos, cascos y delantales diseñados para cuidar la integridad física del trabajador frente a chispas, esquirlas y ruidos. Requeridos por empresas constructoras, industrias, talleres de herrería y trabajadores independientes.</t>
  </si>
  <si>
    <t>Discos de corte</t>
  </si>
  <si>
    <t>Hojas de Sierra</t>
  </si>
  <si>
    <t>Hojas bimetálicas y de acero rápido para arcos de sierra manuales o sierras mecánicas, diseñadas para realizar cortes limpios y duraderos en caños, perfiles y barras macizas. Las compran herreros, plomeros, mecánicos, electricistas y particulares para su caja de herramientas.</t>
  </si>
  <si>
    <t>Guantes</t>
  </si>
  <si>
    <t>Guantes de cuero descarne, vaqueta, moteados o recubiertos que protegen las manos contra cortes, abrasión, calor de soldadura y astillas al manipular chapas y hierros. Imprescindibles para operarios metalúrgicos, herreros, albañiles, camioneros y uso doméstico.</t>
  </si>
  <si>
    <t>Cintas métricas</t>
  </si>
  <si>
    <t>Instrumentos de medición de alta visibilidad y fleje resistente con freno seguro, esenciales para tomar medidas exactas, replantear obras y cortar materiales sin margen de error. Una herramienta infaltable para herreros, albañiles, carpinteros, arquitectos y cualquier hogar.</t>
  </si>
  <si>
    <t>Ruedas</t>
  </si>
  <si>
    <t>Mechas</t>
  </si>
  <si>
    <t>Mechas de acero rápido (HSS), cobalto y widia para taladros y agujereadoras de banco, diseñadas para perforar con precisión chapas, perfiles de hierro, acero inoxidable, madera o pared. Las compran herreros, talleres mecánicos, instaladores y particulares.</t>
  </si>
  <si>
    <t>Hierros y mallas de construcción</t>
  </si>
  <si>
    <t>Hierro liso</t>
  </si>
  <si>
    <t>El corazón estructural de toda obra civil: barras y mallas de acero certificadas para el armado de hormigón en cimientos, columnas, vigas, losas y pavimentos.</t>
  </si>
  <si>
    <t>Barra ADN nervurada</t>
  </si>
  <si>
    <t>Mallas de construcción</t>
  </si>
  <si>
    <t>Paneles de acero electrosoldado en cuadrícula o rectángulo listos para colocar, que distribuyen las cargas y evitan fisuras en contrapisos, plateas de fundación, veredas, cocheras, pisos industriales y losas, ahorrando tiempo de atado en obra. Las eligen constructores, albañiles y particulares en remodelación o construcción.</t>
  </si>
  <si>
    <t>Estribos</t>
  </si>
  <si>
    <t>Laminados redondos y cuadrados</t>
  </si>
  <si>
    <t>Laminados redondos</t>
  </si>
  <si>
    <t>Barras macizas de acero laminado en caliente ("hierro herrero"), fundamentales para herrería tradicional, rejas de seguridad, forja artística y componentes metalúrgicos.</t>
  </si>
  <si>
    <t>Laminados cuadrados</t>
  </si>
  <si>
    <t>Barras macizas de sección cuadrada ("hierro cuadrado macizo") que aportan gran robustez y presencia estética en rejas de seguridad, portones clásicos, balcones, trabajos de forja y topes mecánicos. Son muy elegidas por herreros, arquitectos y propietarios que priorizan seguridad y diseño tradicional.</t>
  </si>
  <si>
    <t>Mallas Job Shop y metal desplegado</t>
  </si>
  <si>
    <t>Metal Desplegado</t>
  </si>
  <si>
    <t>Cerramientos metálicos rígidos y permeables al paso de la luz y el aire, ideales para protecciones, rejas modernas, pisos industriales, mobiliario y zarandas.</t>
  </si>
  <si>
    <t>Mallas Job Shop</t>
  </si>
  <si>
    <t>Perfiles conformados</t>
  </si>
  <si>
    <t>Perfiles C</t>
  </si>
  <si>
    <t>El perfil estrella para estructuras de techos de chapa, tinglados y galpones: su formato con pestañas le da gran rigidez para trabajar como correa de techo, viga liviana, columna o estructura de entrepiso en seco. Lo compran techistas, galponeros, herreros, constructores y particulares.</t>
  </si>
  <si>
    <t>Perfiles de chapa plegada o conformada en frío (negros o galvanizados) que brindan una excelente relación entre bajo peso y resistencia estructural para techos, galpones y entrepisos.</t>
  </si>
  <si>
    <t>Perfiles U conformados</t>
  </si>
  <si>
    <t>Perfiles laminados</t>
  </si>
  <si>
    <t>UPN</t>
  </si>
  <si>
    <t>Perfiles estructurales pesados laminados en caliente para grandes luces, columnas portantes, puentes grúa, entrepisos de alta carga y obras de ingeniería civil o industrial.</t>
  </si>
  <si>
    <t>IPN</t>
  </si>
  <si>
    <t>Perfil W</t>
  </si>
  <si>
    <t>Perfil estructural de alas anchas y paralelas (bajo norma americana ASTM) que ofrece una altísima resistencia con un peso optimizado, ideal para grandes naves industriales, edificios en altura, puentes y estructuras metálicas de gran envergadura. Lo adquieren empresas constructoras, ingenierías y montajistas industriales.</t>
  </si>
  <si>
    <t>Perfil HEB</t>
  </si>
  <si>
    <t>Perfil HEA</t>
  </si>
  <si>
    <t>Perfil IPE</t>
  </si>
  <si>
    <t>Tejidos y telas metálicas</t>
  </si>
  <si>
    <t>Tejidos</t>
  </si>
  <si>
    <t>Cerramientos de alambre tejido y mallas finas o medianas para delimitar terrenos, proteger aberturas contra insectos, clasificar áridos o fabricar jaulas y protecciones.</t>
  </si>
  <si>
    <t>Accesorios para tejidos</t>
  </si>
  <si>
    <t>Planchuelas de tensado, ganchos, torniquetes, grampas, tensores y capuchones necesarios para estirar y fijar el tejido romboidal a los postes de hormigón, madera o caño, logrando un cerco firme que no se afloje con el tiempo. Ideales para cercadores profesionales, constructores y particulares.</t>
  </si>
  <si>
    <t>Malla PAN</t>
  </si>
  <si>
    <t>Tornillos y fijaciones</t>
  </si>
  <si>
    <t>Varillas roscadas</t>
  </si>
  <si>
    <t>Barras metálicas roscadas en todo su largo que se pueden cortar a la medida necesaria para realizar anclajes químicos o mecánicos en hormigón, colgar bandejas portacables, cielorrasos y cañerías o sujetar encofrados. Las compran instaladores industriales, electricistas, techistas, albañiles y herreros.</t>
  </si>
  <si>
    <t>Soluciones de anclaje, bulonería y fijación rápida para unir chapas, perfiles metálicos, maderas y mampostería con máxima firmeza en obras y talleres.</t>
  </si>
  <si>
    <t>Tuercas</t>
  </si>
  <si>
    <t>Elementos de fijación con rosca interna (hexagonales, autofrenantes, mariposa o ciegas) que trabajan en conjunto con bulones y varillas roscadas para asegurar uniones mecánicas desmontables y firmes. Son un insumo básico para talleres mecánicos, metalúrgicas, montajistas, herreros y particulares.</t>
  </si>
  <si>
    <t>Arandelas</t>
  </si>
  <si>
    <t>Discos metálicos (planos, de presión tipo Grower o con sello de goma/neoprene para techo) que distribuyen la fuerza de apriete de tuercas y tornillos, protegiendo las superficies y evitando que las uniones se aflojen por vibración o filtren agua. Indispensables para techistas, mecánicos, herreros y armadores.</t>
  </si>
  <si>
    <t>Remaches</t>
  </si>
  <si>
    <t>Fijaciones rápidas de tipo "pop" (de aluminio o acero) que permiten unir de forma permanente chapas finas, perfiles de aluminio, zinguería y plásticos trabajando desde un solo lado de la pieza sin necesidad de soldar. Muy utilizados por zingueros, carpinteros de aluminio, carroceros y herreros.</t>
  </si>
  <si>
    <t>Grampas</t>
  </si>
  <si>
    <t>Piezas de sujeción (tipo "U", omega o para alambrado y cañerías) diseñadas para fijar firme y prolijamente caños, cables, tejidos o mallas sobre paredes, perfiles y postes. Las eligen electricistas, plomeros, alambradores, herreros y personal de mantenimiento.</t>
  </si>
  <si>
    <t>Tornillos autoperforantes</t>
  </si>
  <si>
    <t>Tornillos</t>
  </si>
  <si>
    <t>Amplia línea de bulones, tirafondos, tornillos para madera, chapa y fijaciones con tarugo para resolver cualquier unión o montaje en herrería, carpintería, maquinaria y mantenimiento del hogar. Los compran desde industrias y profesionales de todos los gremios hasta particulares.</t>
  </si>
  <si>
    <t>Trefilados</t>
  </si>
  <si>
    <t>Trefilados redondos</t>
  </si>
  <si>
    <t>Barras macizas de acero calibradas en frío que se destacan por su exactitud milimétrica, excelente terminación superficial y mayor resistencia mecánica para mecanizado e industria.</t>
  </si>
  <si>
    <t>Trefilados cuadrados</t>
  </si>
  <si>
    <t>Barras macizas de sección cuadrada con aristas vivas perfectas y medidas calibradas, utilizadas especialmente para fabricar chavetas industriales, guías de deslizamiento, dispositivos de matricería y piezas mecánicas de ajuste exacto. Requeridas por talleres de mecanizado, mantenimiento fabril y metalúrgicas.</t>
  </si>
  <si>
    <t>Trefilados hexagonales</t>
  </si>
  <si>
    <t>Tubos sin costura</t>
  </si>
  <si>
    <t>Caños de acero macizo perforado en caliente sin ningún tipo de soldadura longitudinal, diseñados para las máximas exigencias de presión, temperatura y esfuerzo mecánico.</t>
  </si>
  <si>
    <t>TOTAL</t>
  </si>
  <si>
    <t>DOMISSI HERMANOS SRL — COPYS DE CATEGORÍAS PRINCIPALES (FAMILIAS)</t>
  </si>
  <si>
    <t>Resumen de las 20 familias de productos, copy general de presentación de cada categoría y cantidad de subcategorías asociadas.</t>
  </si>
  <si>
    <t>N°</t>
  </si>
  <si>
    <t>Copy comercial de Categoría (Bajada general)</t>
  </si>
  <si>
    <t>Cant. Subcategorías</t>
  </si>
  <si>
    <t>Total de subcategorías y promedio de caracteres por familia:</t>
  </si>
  <si>
    <t>Aislante térmico e hidrófugo liviano, flexible e impermeable -disponible con revestimiento de aluminio puro- que frena el calor radiante del sol y evita el goteo por condensación debajo de las chapas. Ideal para techistas, armadores de galpones y propietarios que techan viviendas o quinchos.</t>
  </si>
  <si>
    <t>Manta aislante térmica y acústica de gran eficiencia que mantiene los ambientes frescos en verano y cálidos en invierno, además de amortiguar el ruido de la lluvia sobre el techo y mejorar la acústica en tabiques de construcción en seco. Evita el goteo por condensación debajo de las chapas. Es muy buscada por constructores, instaladores de Durlock, techistas y familias para su obra.</t>
  </si>
  <si>
    <t>Usar</t>
  </si>
  <si>
    <t>No</t>
  </si>
  <si>
    <t>Si</t>
  </si>
  <si>
    <t>Los clavos son elementos clásicos de fijación en acero -lisos, espiralados o especiales para techo— pensados para asegurar maderas, tiranterías, cajones y estructuras de encofrado con firmeza. Imprescindibles para carpinteros de obra, techistas, albañiles y cualquier proyecto doméstico.</t>
  </si>
  <si>
    <t>Barras planas de acero de fácil soldabilidad y plegado, indispensables para fabricar rejas, grampas de amure, soportes, marcos, bisagras y refuerzos estructurales de todo tipo. Son un material de cabecera para herreros, albañiles y metalúrgicas.</t>
  </si>
  <si>
    <t>Perfiles en forma de "L" que aportan rigidez en esquinas y uniones a 90 grados; se usan en marcos de puertas y portones, torres de tanques, cabriadas livianas, estanterías industriales y chasis. Los eligen herreros, constructores y fabricantes de implementos agrícolas.</t>
  </si>
  <si>
    <t>Planchuelas de acero con mayor porcentaje de carbono que ofrecen superior dureza y resistencia al desgaste o impacto, aptas para tratamiento térmico, cuchillas, piezas de máquinas agrícolas y matricería. La eligen talleres metalúrgicos, fabricantes de acoplados o implementos rurales y tornerías.</t>
  </si>
  <si>
    <t>Tubos redondos de pared calibrada y excelente terminación superficial, diseñados para soportar exigencias de torsión, doblado y mecanizado en autopartes, rodillos, implementos agrícolas, etc. Tienen una gran aplicacion en la fabricacion de implementos agricolas como ejes para sinfines, y en montajes industriales para barandas o estructuras tubulares varias. Ideales para industrias metalmecánicas, fabricas de sinfines, y fabricantes de implementos agricolas.</t>
  </si>
  <si>
    <t>Caños de acero (negros o galvanizados, con extremos lisos o roscados) fabricados bajo normas de estanqueidad para el transporte seguro de agua, gas, aire comprimido, vapor y redes contra incendio, además de camisas de perforación. Tambien tienen una gran aplicacion en la fabricacion de implementos agricolas como ejes para sinfines, y en estructuras tubulares. Los compran empresas de mantenimiento industrial, industrias metalurgicas y empresas de perforaciones.</t>
  </si>
  <si>
    <t>Tubos estructurales de gran espesor de pared pensados para soportar cargas elevadas, impactos y esfuerzos intensos en columnas portantes, chasis de acoplados, maquinaria vial o agrícola y naves industriales. Son usados por fabricas de maquinaria agricola y de maquinaria pesada en general, y por empresas constructoras.</t>
  </si>
  <si>
    <t>Chapas para techo (acanaladas o trapezoidales) revestidas con una aleación de aluminio y zinc (Cincalum). El recubrimiento Cincalum supera al zinc ampliamente, dado que que multiplica su vida útil frente a la corrosión, refleja mejor el calor solar, en caso de condensacion disminuye la formacion de gota y mantiene intacto su aspecto gris claro aluminizado durante decadas (no se oscurece con los años). Es la opción más elegida por techistas, constructores, productores agropecuarios y familias para techar casas y galpones. Cincalum es una marca registrada de Ternium.</t>
  </si>
  <si>
    <t>Chapas prepintadas en fábrica sobre base zinc que suman un acabado estético superior y una capa extra de protección contra la intemperie. Ideales para arquitectos, desarrolladores y propietarios que buscan techos y fachadas modernas de alto impacto visual.</t>
  </si>
  <si>
    <t>Chapas translúcidas (de polipropileno, policarbonato o fibra de vidrio con filtro UV) con el mismo formato acanalado o trapezoidal que las de acero, diseñadas para intercalar en techos o laterales y permitir el paso de luz natural ahorrando electricidad. Las compran galponeros, industrias, comercios y particulares para galerias o pérgolas.</t>
  </si>
  <si>
    <t>Chapa de acero con relieves que evitan resbalones, incluso en superficies húmedas o con grasa; se usa en escalones, rampas, entrepisos industriales, tapas de cámara y pisos de camiones. La compran carroceros, industrias, herreros y empresas constructoras.</t>
  </si>
  <si>
    <t>Conocida en el rubro como chapa "LAF" o "doble decapada", ofrece una superficie sumamente lisa, espesor uniforme y gran aptitud para el plegado y estampado. Es la preferida de fabricantes de muebles metálicos, fabricantes de portones, carroceros, y todo tipo de industrias metalurgicas.</t>
  </si>
  <si>
    <t>Chapa lisa recubierta en zinc para resistir la humedad y la oxidación; es muy fácil de plegar y engrafar en trabajos de zinguería, conductos de aire acondicionado, silos, comederos rurales y cartelería. La eligen zingueros, instaladores termomecánicos, herreros y el sector agropecuario.</t>
  </si>
  <si>
    <t>Chapa plana revestida con aleación de aluminio y zinc (Cincalum) que combina la facilidad de plegado con una resistencia superior a la intemperie. Combina perfectamente en estetica con la chapa acanalada o trapezoidal Cincalum. La compran principalmente zingueros, techistas e industrias para fabricar canaletas, cumbreras, conductos y cerramientos exteriores duraderos.</t>
  </si>
  <si>
    <t>Carros, rieles, ruedas con rulemán, guías superiores, topes y sistemas completos para el armado de portones corredizos, levadizos o batientes de deslizamiento suave y seguro. Pensados para herreros e instaladores de automatización de portones.</t>
  </si>
  <si>
    <t>Piezas plegadas en capa galvanizada, Cincalum y color -como cumbreras, babetas y cenefas- que sellan las uniones entre el techo de chapa y los muros, evitando filtraciones de agua y dándole una terminación estética al techo. Imprescindibles para techistas, constructores y albañiles.</t>
  </si>
  <si>
    <t>Equipos de ventilación que funcionan con la fuerza del viento -sin consumir electricidad- para renovar el aire interior y extraer el calor acumulado, el humo, el vapor o los olores de galpones, talleres y depósitos. Ideales para industrias, comercios, clubes y galponeros.</t>
  </si>
  <si>
    <t>Bandas de espuma impregnada, conformada con la onda de la chapa (sinusoidal o trapezoidal y lisas) que se colocan en cumbreras y solapes para bloquear la entrada de lluvia, viento, tierra, insectos y aves. Los llevan techistas, galponeros y particulares que buscan un techo totalmente hermético.</t>
  </si>
  <si>
    <t>Rollos de polietileno (nylon negro o cristal), medias sombras y telas plásticas multiuso para impermeabilizar debajo de contrapisos, cubrir materiales en obra contra la lluvia o armar cerramientos provisorios. Las compran albañiles, constructores, productores rurales y particulares.</t>
  </si>
  <si>
    <t>Electrodos revestidos, rollos de alambre para soldadoras MIG/MAG y consumibles que garantizan costuras firmes, limpias y seguras en todo tipo de aceros. Son el insumo cotidiano de herreros, soldadores profesionales, talleres metalúrgicos y aficionados.</t>
  </si>
  <si>
    <t>Discos abrasivos, de corte, desbaste y flap (lijado) para amoladoras y sensitivas, formulados para cortar y repasar hierro, acero inoxidable con rapidez y precisión. Un consumible diario para herreros, albañiles, metalúrgicos e instaladores.</t>
  </si>
  <si>
    <t>Ruedas fijas, giratorias, con o sin freno —en goma, nylon, poliuretano o fundición— pensadas para movilizar desde muebles y exhibidores hasta carros de taller, andamios y contenedores industriales pesados. Las eligen herreros, fábricas, comercios y particulares.</t>
  </si>
  <si>
    <t>Barras redondas de acero liso (calidad AL-220) muy fáciles de doblar y soldar, utilizadas en construcción para pasadores de juntas de dilatación en pisos de hormigón, estribos especiales y estructuras de galpones y tinglados para fabricar las tipicas vigas y columnas de hierro reticulado. Las compran empresas constructoras y galponeros.</t>
  </si>
  <si>
    <t>Conocido como "hierro de construcción" o hierro torsionado/nervurado (ADN-420), sus relieves superficiales aseguran un agarre máximo al hormigón en cimientos, pilotines, columnas, vigas, encadenados y losas. Es el material indispensable para albañiles, contratistas, ingenieros, arquitectos y familias construyendo su casa.</t>
  </si>
  <si>
    <t>Estribos cuadrados y rectangulares de hierro nervurado ya cortados y doblados a medida con precisión industrial, listos para armar rápidamente las armaduras de hierro para vigas, columnas y encadenados sin desperdicio de material ni demoras en obra. Ideales para albañiles, constructores y particulares que buscan agilizar la obra.</t>
  </si>
  <si>
    <t>Malla de una sola pieza de acero con aberturas en forma de rombo -sin costuras ni soldaduras que puedan soltarse- que se usa desde rejas, portones, parrillas y muebles industriales hasta pasarelas, escalones y plataformas de carga en sus versiones pesadas. Lo compran herreros, industrias, constructores y diseñadores.</t>
  </si>
  <si>
    <t>Paños rígidos de alambre electrosoldado de estética prolija y moderna, pensados para usos no estructurales como cercos divisorios, portones, jaulas, protecciones de máquinas, exhibidores comerciales y canastos. Muy demandadas por herreros, comercios, industrias y particulares.</t>
  </si>
  <si>
    <t>Perfiles abiertos en forma de "U" sin pestañas, conformados en frío en chapa negra o galvanizada, utilizados como elementos estructurales para vigas y columnas (en combinacion con algun otro tipo de perfil para el reticulado). Los eligen constructoras y galponeros.</t>
  </si>
  <si>
    <t>Perfil laminado pesado en forma de "U" de paredes gruesas e inclinadas, ideal para vigas de entrepiso, largueros de escaleras metálicas, dinteles de grandes aberturas, chasis de camiones, acoplados o maquinaria agricola, y columnas cajón (soldando dos enfrentados). Lo compran constructores, fabricantes de maquinaria agricola, carroceros y herreros.</t>
  </si>
  <si>
    <t>El clásico perfil "Doble T" de alas inclinadas, diseñado para soportar grandes esfuerzos de flexión como viga principal en techos, entrepisos, rieles de aparejos y refuerzos al demoler paredes portantes. Muy solicitado por arquitectos, ingenieros, constructores y contratistas.</t>
  </si>
  <si>
    <t>Perfil de sección en "H" robusta con alas tan anchas como su altura y gran espesor, diseñado especialmente para trabajar como columna principal sometida a fuertes cargas de compresión y pandeo en edificios, plantas industriales y pórticos pesados. Similar al perfil HEA pero con mayores espesores de material en alma y alas. Requerido por montajistas industriales y constructoras de obra pesada.</t>
  </si>
  <si>
    <t>Perfil de sección en "H" robusta con alas tan anchas como su altura y gran espesor, diseñado especialmente para trabajar como columna principal sometida a fuertes cargas de compresión y pandeo en edificios, plantas industriales y pórticos pesados. Similar al perfil HEB pero con menores espesores de material en alma y alas. Requerido por montajistas industriales y constructoras de obra pesada.</t>
  </si>
  <si>
    <t>Perfil europeo en forma de "I" con alas paralelas que facilita las uniones abulonadas o soldadas y ofrece mayor eficiencia estructural que el IPN tradicional en vigas de techos, entrepisos y esrtructuras civiles y de maquinaria en general. Requerido por metalúrgicas y constructoras.</t>
  </si>
  <si>
    <t>Tornillos con punta mecha o punta aguja, cabeza hexagonal o tipo T1/T2 que perforan, roscan y fijan en un solo paso sin agujerear previamente. Imprescindibles para techistas, galponeros, herreros e instaladores de placas de yeso y steel frame.</t>
  </si>
  <si>
    <t>Barras cilíndricas de acero calibrado en frío con tolerancias dimensionales exactas y superficie pulida, ideales para fabricar ejes de precisión, vástagos, rodillos, pernos y realizar mecanizados en torno sin necesidad de desbaste previo. Las compran tornerías, industrias metalmecánicas y fabricantes de maquinaria agrícola.</t>
  </si>
  <si>
    <t>Barras macizas de forma hexagonal con caras calibradas (trefiladas). Su principal uso es en ejes para la maquinaria agricola e industrial, pero tambien es la materia prima ideal para tornear bulones especiales, tuercas a medida, acoples hidráulicos, niples y racores. Las eligen torneros, fabricantes de bulonería y fabricantes de maquinaria agricola.</t>
  </si>
  <si>
    <t>Laminados en caliente a partir de una palanquilla maciza de acero, no tienen uniones soldadas, estos tubos soportan presiones extremas, altas temperaturas y grandes esfuerzos mecánicos en cilindros hidráulicos, calderas, industria petrolera o gasífera, bujes pesados y ejes industriales. Los compran industrias, talleres hidráulicos, tornerías y empresas de ingenieria.</t>
  </si>
  <si>
    <t>Barras laminadas macizas de sección circular para usos desde herreria hasta mecanizados pesados. Las compran herreros, talleres metalúrgicos e industrias de todo tipo.</t>
  </si>
  <si>
    <t>Tejido de alambre romboidal (el clásico cerco perimetral), hexagonal (pajarero o gallinero), telas mosquiteras, zarandas, artistico, tejido cuadrangular "chanchero". Pensados para cercar lotes, canchas, piletas y jardines, y criaderos de animales, ademas de multiples usos industriales para el tejido zaranda. Los compran colocadores de cercos, clubes, productores rurales, albañiles y familias.</t>
  </si>
  <si>
    <t>Malla electrosoldada de alambre galvanizado. Liviana y flexible, tiene todo tipo de usos en el agro principalmente para aves de corral, y en las viviendas como cercos de jardin, protecciones antipajaro, y todo tipo de usos hogareños. Por su presentacion en rollos es muy facil de transportar y de instalar. La eligen herreros, productores agropecuarios y particulares.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</si>
</sst>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5"/>
      <color rgb="FFFFFFFF"/>
      <name val="Calibri"/>
    </font>
    <font>
      <i/>
      <sz val="10"/>
      <color rgb="FFE2E8F0"/>
      <name val="Calibri"/>
    </font>
    <font>
      <b/>
      <sz val="11"/>
      <color rgb="FFFFFFFF"/>
      <name val="Calibri"/>
    </font>
    <font>
      <sz val="9"/>
      <color rgb="FF475569"/>
      <name val="Calibri"/>
    </font>
    <font>
      <b/>
      <sz val="10"/>
      <color rgb="FF1E293B"/>
      <name val="Calibri"/>
    </font>
    <font>
      <sz val="10"/>
      <color rgb="FF1E293B"/>
      <name val="Calibri"/>
    </font>
    <font>
      <b/>
      <sz val="11"/>
      <color rgb="FF0F172A"/>
      <name val="Calibri"/>
    </font>
  </fonts>
  <fills count="7">
    <fill>
      <patternFill patternType="none"/>
    </fill>
    <fill>
      <patternFill patternType="gray125"/>
    </fill>
    <fill>
      <patternFill patternType="solid">
        <fgColor rgb="FF1E293B"/>
        <bgColor rgb="FF1E293B"/>
      </patternFill>
    </fill>
    <fill>
      <patternFill patternType="solid">
        <fgColor rgb="FF334155"/>
        <bgColor rgb="FF334155"/>
      </patternFill>
    </fill>
    <fill>
      <patternFill patternType="solid">
        <fgColor rgb="FFFFFFFF"/>
        <bgColor rgb="FFFFFFFF"/>
      </patternFill>
    </fill>
    <fill>
      <patternFill patternType="solid">
        <fgColor rgb="FFF8FAFC"/>
        <bgColor rgb="FFF8FAFC"/>
      </patternFill>
    </fill>
    <fill>
      <patternFill patternType="solid">
        <fgColor rgb="FFE2E8F0"/>
        <bgColor rgb="FFE2E8F0"/>
      </patternFill>
    </fill>
  </fills>
  <borders count="5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medium">
        <color rgb="FF334155"/>
      </bottom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  <border>
      <left style="thin">
        <color rgb="FFCBD5E1"/>
      </left>
      <right style="thin">
        <color rgb="FFCBD5E1"/>
      </right>
      <top style="medium">
        <color rgb="FF334155"/>
      </top>
      <bottom style="double">
        <color rgb="FF1E293B"/>
      </bottom>
      <diagonal/>
    </border>
    <border>
      <left style="thin">
        <color rgb="FFCBD5E1"/>
      </left>
      <right style="thin">
        <color rgb="FFCBD5E1"/>
      </right>
      <top/>
      <bottom/>
      <diagonal/>
    </border>
  </borders>
  <cellStyleXfs count="1">
    <xf numFmtId="0" fontId="0" fillId="0" borderId="0"/>
  </cellStyleXfs>
  <cellXfs count="22">
    <xf numFmtId="0" fontId="0" fillId="0" borderId="0" xfId="0"/>
    <xf numFmtId="0" fontId="3" fillId="3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left" vertical="center" wrapText="1"/>
    </xf>
    <xf numFmtId="0" fontId="4" fillId="4" borderId="2" xfId="0" applyFont="1" applyFill="1" applyBorder="1" applyAlignment="1">
      <alignment horizontal="center" vertical="center"/>
    </xf>
    <xf numFmtId="0" fontId="5" fillId="4" borderId="2" xfId="0" applyFont="1" applyFill="1" applyBorder="1" applyAlignment="1">
      <alignment horizontal="left" vertical="center" wrapText="1"/>
    </xf>
    <xf numFmtId="0" fontId="6" fillId="4" borderId="2" xfId="0" applyFont="1" applyFill="1" applyBorder="1" applyAlignment="1">
      <alignment horizontal="left" vertical="center" wrapText="1"/>
    </xf>
    <xf numFmtId="3" fontId="6" fillId="4" borderId="2" xfId="0" applyNumberFormat="1" applyFont="1" applyFill="1" applyBorder="1" applyAlignment="1">
      <alignment horizontal="center" vertical="center"/>
    </xf>
    <xf numFmtId="0" fontId="5" fillId="4" borderId="2" xfId="0" applyFont="1" applyFill="1" applyBorder="1" applyAlignment="1">
      <alignment horizontal="center" vertical="center"/>
    </xf>
    <xf numFmtId="0" fontId="4" fillId="5" borderId="2" xfId="0" applyFont="1" applyFill="1" applyBorder="1" applyAlignment="1">
      <alignment horizontal="center" vertical="center"/>
    </xf>
    <xf numFmtId="0" fontId="5" fillId="5" borderId="2" xfId="0" applyFont="1" applyFill="1" applyBorder="1" applyAlignment="1">
      <alignment horizontal="left" vertical="center" wrapText="1"/>
    </xf>
    <xf numFmtId="0" fontId="6" fillId="5" borderId="2" xfId="0" applyFont="1" applyFill="1" applyBorder="1" applyAlignment="1">
      <alignment horizontal="left" vertical="center" wrapText="1"/>
    </xf>
    <xf numFmtId="3" fontId="6" fillId="5" borderId="2" xfId="0" applyNumberFormat="1" applyFont="1" applyFill="1" applyBorder="1" applyAlignment="1">
      <alignment horizontal="center" vertical="center"/>
    </xf>
    <xf numFmtId="0" fontId="5" fillId="5" borderId="2" xfId="0" applyFont="1" applyFill="1" applyBorder="1" applyAlignment="1">
      <alignment horizontal="center" vertical="center"/>
    </xf>
    <xf numFmtId="0" fontId="7" fillId="6" borderId="3" xfId="0" applyFont="1" applyFill="1" applyBorder="1" applyAlignment="1">
      <alignment horizontal="center" vertical="center"/>
    </xf>
    <xf numFmtId="0" fontId="7" fillId="6" borderId="3" xfId="0" applyFont="1" applyFill="1" applyBorder="1" applyAlignment="1">
      <alignment horizontal="right" vertical="center"/>
    </xf>
    <xf numFmtId="3" fontId="7" fillId="6" borderId="3" xfId="0" applyNumberFormat="1" applyFont="1" applyFill="1" applyBorder="1" applyAlignment="1">
      <alignment horizontal="center" vertical="center"/>
    </xf>
    <xf numFmtId="3" fontId="5" fillId="4" borderId="2" xfId="0" applyNumberFormat="1" applyFont="1" applyFill="1" applyBorder="1" applyAlignment="1">
      <alignment horizontal="center" vertical="center"/>
    </xf>
    <xf numFmtId="3" fontId="5" fillId="5" borderId="2" xfId="0" applyNumberFormat="1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left" vertical="center" wrapText="1"/>
    </xf>
    <xf numFmtId="0" fontId="2" fillId="2" borderId="0" xfId="0" applyFont="1" applyFill="1" applyAlignment="1">
      <alignment horizontal="left" vertical="center" indent="1"/>
    </xf>
    <xf numFmtId="0" fontId="0" fillId="0" borderId="0" xfId="0"/>
    <xf numFmtId="0" fontId="1" fillId="2" borderId="0" xfId="0" applyFont="1" applyFill="1" applyAlignment="1">
      <alignment horizontal="left" vertical="center" indent="1"/>
    </xf>
  </cellXfs>
  <cellStyles count="1">
    <cellStyle name="Normal" xfId="0" builtinId="0"/>
  </cellStyles>
  <dxfs count="3">
    <dxf>
      <font>
        <b/>
        <sz val="10"/>
        <color rgb="FF1E40AF"/>
        <name val="Calibri"/>
      </font>
      <fill>
        <patternFill patternType="solid">
          <fgColor rgb="FFDBEAFE"/>
          <bgColor rgb="FFDBEAFE"/>
        </patternFill>
      </fill>
    </dxf>
    <dxf>
      <font>
        <b/>
        <sz val="10"/>
        <color rgb="FF92400E"/>
        <name val="Calibri"/>
      </font>
      <fill>
        <patternFill patternType="solid">
          <fgColor rgb="FFFEF3C7"/>
          <bgColor rgb="FFFEF3C7"/>
        </patternFill>
      </fill>
    </dxf>
    <dxf>
      <font>
        <b/>
        <sz val="10"/>
        <color rgb="FF166534"/>
        <name val="Calibri"/>
      </font>
      <fill>
        <patternFill patternType="solid">
          <fgColor rgb="FFDCFCE7"/>
          <bgColor rgb="FFDCFCE7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10"/>
    </mc:Choice>
    <mc:Fallback>
      <c:style val="10"/>
    </mc:Fallback>
  </mc:AlternateContent>
  <c:chart>
    <c:title>
      <c:tx>
        <c:rich>
          <a:bodyPr/>
          <a:lstStyle/>
          <a:p>
            <a:pPr>
              <a:defRPr/>
            </a:pPr>
            <a:r>
              <a:rPr lang="es-AR"/>
              <a:t>Cantidad de Subcategorías por Familia de Producto</a:t>
            </a:r>
          </a:p>
        </c:rich>
      </c:tx>
      <c:overlay val="0"/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'Copys por Categoría y Resumen'!$D$4</c:f>
              <c:strCache>
                <c:ptCount val="1"/>
                <c:pt idx="0">
                  <c:v>Cant. Subcategorías</c:v>
                </c:pt>
              </c:strCache>
            </c:strRef>
          </c:tx>
          <c:spPr>
            <a:ln>
              <a:prstDash val="solid"/>
            </a:ln>
          </c:spPr>
          <c:invertIfNegative val="0"/>
          <c:cat>
            <c:strRef>
              <c:f>'Copys por Categoría y Resumen'!$B$5:$B$24</c:f>
              <c:strCache>
                <c:ptCount val="20"/>
                <c:pt idx="0">
                  <c:v>Acero inoxidable</c:v>
                </c:pt>
                <c:pt idx="1">
                  <c:v>Aislantes</c:v>
                </c:pt>
                <c:pt idx="2">
                  <c:v>Alambres y clavos</c:v>
                </c:pt>
                <c:pt idx="3">
                  <c:v>Aluminios</c:v>
                </c:pt>
                <c:pt idx="4">
                  <c:v>Ángulos, planchuelas y perfiles T/U</c:v>
                </c:pt>
                <c:pt idx="5">
                  <c:v>Caños</c:v>
                </c:pt>
                <c:pt idx="6">
                  <c:v>Chapas conformadas</c:v>
                </c:pt>
                <c:pt idx="7">
                  <c:v>Chapas lisas</c:v>
                </c:pt>
                <c:pt idx="8">
                  <c:v>Complementos de herrería</c:v>
                </c:pt>
                <c:pt idx="9">
                  <c:v>Complementos para chapas de techo</c:v>
                </c:pt>
                <c:pt idx="10">
                  <c:v>Ferretería</c:v>
                </c:pt>
                <c:pt idx="11">
                  <c:v>Hierros y mallas de construcción</c:v>
                </c:pt>
                <c:pt idx="12">
                  <c:v>Laminados redondos y cuadrados</c:v>
                </c:pt>
                <c:pt idx="13">
                  <c:v>Mallas Job Shop y metal desplegado</c:v>
                </c:pt>
                <c:pt idx="14">
                  <c:v>Perfiles conformados</c:v>
                </c:pt>
                <c:pt idx="15">
                  <c:v>Perfiles laminados</c:v>
                </c:pt>
                <c:pt idx="16">
                  <c:v>Tejidos y telas metálicas</c:v>
                </c:pt>
                <c:pt idx="17">
                  <c:v>Tornillos y fijaciones</c:v>
                </c:pt>
                <c:pt idx="18">
                  <c:v>Trefilados</c:v>
                </c:pt>
                <c:pt idx="19">
                  <c:v>Tubos sin costura</c:v>
                </c:pt>
              </c:strCache>
            </c:strRef>
          </c:cat>
          <c:val>
            <c:numRef>
              <c:f>'Copys por Categoría y Resumen'!$D$5:$D$24</c:f>
              <c:numCache>
                <c:formatCode>#,##0</c:formatCode>
                <c:ptCount val="20"/>
                <c:pt idx="0">
                  <c:v>3</c:v>
                </c:pt>
                <c:pt idx="1">
                  <c:v>3</c:v>
                </c:pt>
                <c:pt idx="2">
                  <c:v>4</c:v>
                </c:pt>
                <c:pt idx="3">
                  <c:v>5</c:v>
                </c:pt>
                <c:pt idx="4">
                  <c:v>6</c:v>
                </c:pt>
                <c:pt idx="5">
                  <c:v>4</c:v>
                </c:pt>
                <c:pt idx="6">
                  <c:v>3</c:v>
                </c:pt>
                <c:pt idx="7">
                  <c:v>6</c:v>
                </c:pt>
                <c:pt idx="8">
                  <c:v>4</c:v>
                </c:pt>
                <c:pt idx="9">
                  <c:v>4</c:v>
                </c:pt>
                <c:pt idx="10">
                  <c:v>14</c:v>
                </c:pt>
                <c:pt idx="11">
                  <c:v>4</c:v>
                </c:pt>
                <c:pt idx="12">
                  <c:v>2</c:v>
                </c:pt>
                <c:pt idx="13">
                  <c:v>2</c:v>
                </c:pt>
                <c:pt idx="14">
                  <c:v>2</c:v>
                </c:pt>
                <c:pt idx="15">
                  <c:v>6</c:v>
                </c:pt>
                <c:pt idx="16">
                  <c:v>3</c:v>
                </c:pt>
                <c:pt idx="17">
                  <c:v>7</c:v>
                </c:pt>
                <c:pt idx="18">
                  <c:v>3</c:v>
                </c:pt>
                <c:pt idx="19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1C0-4DED-B5EE-0CC724C4D8F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s-AR"/>
                  <a:t>Cantidad de Subcategorías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0"/>
        <c:lblAlgn val="ctr"/>
        <c:lblOffset val="100"/>
        <c:noMultiLvlLbl val="0"/>
      </c:catAx>
      <c:valAx>
        <c:axId val="100"/>
        <c:scaling>
          <c:orientation val="minMax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s-AR"/>
                  <a:t>Categoría / Familia</a:t>
                </a:r>
              </a:p>
            </c:rich>
          </c:tx>
          <c:overlay val="0"/>
        </c:title>
        <c:numFmt formatCode="#,##0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0</xdr:colOff>
      <xdr:row>3</xdr:row>
      <xdr:rowOff>0</xdr:rowOff>
    </xdr:from>
    <xdr:ext cx="6480000" cy="504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87"/>
  <sheetViews>
    <sheetView tabSelected="1" workbookViewId="0">
      <pane xSplit="3" ySplit="1" topLeftCell="D53" activePane="bottomRight" state="frozen"/>
      <selection pane="topRight"/>
      <selection pane="bottomLeft"/>
      <selection pane="bottomRight" activeCell="G76" sqref="G76"/>
    </sheetView>
  </sheetViews>
  <sheetFormatPr baseColWidth="10" defaultColWidth="9.140625" defaultRowHeight="15" x14ac:dyDescent="0.25"/>
  <cols>
    <col min="1" max="1" width="7" customWidth="1"/>
    <col min="2" max="2" width="30" customWidth="1"/>
    <col min="3" max="3" width="32" customWidth="1"/>
    <col min="4" max="4" width="104.5703125" customWidth="1"/>
    <col min="5" max="5" width="18" customWidth="1"/>
  </cols>
  <sheetData>
    <row r="1" spans="1:6" ht="27.95" customHeight="1" thickBot="1" x14ac:dyDescent="0.3">
      <c r="A1" s="1" t="s">
        <v>0</v>
      </c>
      <c r="B1" s="2" t="s">
        <v>1</v>
      </c>
      <c r="C1" s="2" t="s">
        <v>2</v>
      </c>
      <c r="D1" s="2" t="s">
        <v>3</v>
      </c>
      <c r="E1" s="1" t="s">
        <v>5</v>
      </c>
      <c r="F1" s="18" t="s">
        <v>186</v>
      </c>
    </row>
    <row r="2" spans="1:6" ht="48" customHeight="1" x14ac:dyDescent="0.25">
      <c r="A2" s="3">
        <v>1</v>
      </c>
      <c r="B2" s="4" t="s">
        <v>6</v>
      </c>
      <c r="C2" s="4" t="s">
        <v>7</v>
      </c>
      <c r="D2" s="5" t="s">
        <v>8</v>
      </c>
      <c r="E2" s="7" t="s">
        <v>10</v>
      </c>
      <c r="F2" t="s">
        <v>187</v>
      </c>
    </row>
    <row r="3" spans="1:6" ht="48" customHeight="1" x14ac:dyDescent="0.25">
      <c r="A3" s="8">
        <v>2</v>
      </c>
      <c r="B3" s="9" t="s">
        <v>6</v>
      </c>
      <c r="C3" s="9" t="s">
        <v>11</v>
      </c>
      <c r="D3" s="10" t="s">
        <v>12</v>
      </c>
      <c r="E3" s="12" t="s">
        <v>10</v>
      </c>
      <c r="F3" t="s">
        <v>187</v>
      </c>
    </row>
    <row r="4" spans="1:6" ht="48" customHeight="1" x14ac:dyDescent="0.25">
      <c r="A4" s="3">
        <v>3</v>
      </c>
      <c r="B4" s="4" t="s">
        <v>6</v>
      </c>
      <c r="C4" s="4" t="s">
        <v>13</v>
      </c>
      <c r="D4" s="5" t="s">
        <v>14</v>
      </c>
      <c r="E4" s="7" t="s">
        <v>10</v>
      </c>
      <c r="F4" t="s">
        <v>187</v>
      </c>
    </row>
    <row r="5" spans="1:6" ht="48" customHeight="1" x14ac:dyDescent="0.25">
      <c r="A5" s="8">
        <v>4</v>
      </c>
      <c r="B5" s="9" t="s">
        <v>15</v>
      </c>
      <c r="C5" s="9" t="s">
        <v>16</v>
      </c>
      <c r="D5" s="10" t="s">
        <v>17</v>
      </c>
      <c r="E5" s="12" t="s">
        <v>10</v>
      </c>
      <c r="F5" t="s">
        <v>187</v>
      </c>
    </row>
    <row r="6" spans="1:6" ht="48" customHeight="1" x14ac:dyDescent="0.25">
      <c r="A6" s="3">
        <v>5</v>
      </c>
      <c r="B6" s="4" t="s">
        <v>15</v>
      </c>
      <c r="C6" s="4" t="s">
        <v>19</v>
      </c>
      <c r="D6" s="5" t="s">
        <v>185</v>
      </c>
      <c r="E6" s="7" t="s">
        <v>10</v>
      </c>
      <c r="F6" t="s">
        <v>188</v>
      </c>
    </row>
    <row r="7" spans="1:6" ht="48" customHeight="1" x14ac:dyDescent="0.25">
      <c r="A7" s="8">
        <v>6</v>
      </c>
      <c r="B7" s="9" t="s">
        <v>15</v>
      </c>
      <c r="C7" s="9" t="s">
        <v>20</v>
      </c>
      <c r="D7" s="10" t="s">
        <v>184</v>
      </c>
      <c r="E7" s="12" t="s">
        <v>10</v>
      </c>
      <c r="F7" t="s">
        <v>188</v>
      </c>
    </row>
    <row r="8" spans="1:6" ht="48" customHeight="1" x14ac:dyDescent="0.25">
      <c r="A8" s="3">
        <v>7</v>
      </c>
      <c r="B8" s="4" t="s">
        <v>21</v>
      </c>
      <c r="C8" s="4" t="s">
        <v>22</v>
      </c>
      <c r="D8" s="5" t="s">
        <v>23</v>
      </c>
      <c r="E8" s="7" t="s">
        <v>10</v>
      </c>
      <c r="F8" t="s">
        <v>188</v>
      </c>
    </row>
    <row r="9" spans="1:6" ht="48" customHeight="1" x14ac:dyDescent="0.25">
      <c r="A9" s="8">
        <v>8</v>
      </c>
      <c r="B9" s="9" t="s">
        <v>21</v>
      </c>
      <c r="C9" s="9" t="s">
        <v>25</v>
      </c>
      <c r="D9" s="10" t="s">
        <v>26</v>
      </c>
      <c r="E9" s="12" t="s">
        <v>10</v>
      </c>
      <c r="F9" t="s">
        <v>188</v>
      </c>
    </row>
    <row r="10" spans="1:6" ht="48" customHeight="1" x14ac:dyDescent="0.25">
      <c r="A10" s="3">
        <v>9</v>
      </c>
      <c r="B10" s="4" t="s">
        <v>21</v>
      </c>
      <c r="C10" s="4" t="s">
        <v>27</v>
      </c>
      <c r="D10" s="5" t="s">
        <v>189</v>
      </c>
      <c r="E10" s="7" t="s">
        <v>10</v>
      </c>
      <c r="F10" t="s">
        <v>188</v>
      </c>
    </row>
    <row r="11" spans="1:6" ht="48" customHeight="1" x14ac:dyDescent="0.25">
      <c r="A11" s="8">
        <v>10</v>
      </c>
      <c r="B11" s="9" t="s">
        <v>21</v>
      </c>
      <c r="C11" s="9" t="s">
        <v>28</v>
      </c>
      <c r="D11" s="10" t="s">
        <v>29</v>
      </c>
      <c r="E11" s="12" t="s">
        <v>10</v>
      </c>
      <c r="F11" t="s">
        <v>188</v>
      </c>
    </row>
    <row r="12" spans="1:6" ht="48" customHeight="1" x14ac:dyDescent="0.25">
      <c r="A12" s="3">
        <v>11</v>
      </c>
      <c r="B12" s="4" t="s">
        <v>30</v>
      </c>
      <c r="C12" s="4" t="s">
        <v>31</v>
      </c>
      <c r="D12" s="5" t="s">
        <v>32</v>
      </c>
      <c r="E12" s="7" t="s">
        <v>10</v>
      </c>
      <c r="F12" t="s">
        <v>187</v>
      </c>
    </row>
    <row r="13" spans="1:6" ht="48" customHeight="1" x14ac:dyDescent="0.25">
      <c r="A13" s="8">
        <v>12</v>
      </c>
      <c r="B13" s="9" t="s">
        <v>30</v>
      </c>
      <c r="C13" s="9" t="s">
        <v>34</v>
      </c>
      <c r="D13" s="10" t="s">
        <v>35</v>
      </c>
      <c r="E13" s="12" t="s">
        <v>10</v>
      </c>
      <c r="F13" t="s">
        <v>187</v>
      </c>
    </row>
    <row r="14" spans="1:6" ht="48" customHeight="1" x14ac:dyDescent="0.25">
      <c r="A14" s="3">
        <v>13</v>
      </c>
      <c r="B14" s="4" t="s">
        <v>30</v>
      </c>
      <c r="C14" s="4" t="s">
        <v>36</v>
      </c>
      <c r="D14" s="5" t="s">
        <v>37</v>
      </c>
      <c r="E14" s="7" t="s">
        <v>10</v>
      </c>
      <c r="F14" t="s">
        <v>187</v>
      </c>
    </row>
    <row r="15" spans="1:6" ht="48" customHeight="1" x14ac:dyDescent="0.25">
      <c r="A15" s="8">
        <v>14</v>
      </c>
      <c r="B15" s="9" t="s">
        <v>30</v>
      </c>
      <c r="C15" s="9" t="s">
        <v>38</v>
      </c>
      <c r="D15" s="10" t="s">
        <v>39</v>
      </c>
      <c r="E15" s="12" t="s">
        <v>10</v>
      </c>
      <c r="F15" t="s">
        <v>187</v>
      </c>
    </row>
    <row r="16" spans="1:6" ht="48" customHeight="1" x14ac:dyDescent="0.25">
      <c r="A16" s="3">
        <v>15</v>
      </c>
      <c r="B16" s="4" t="s">
        <v>30</v>
      </c>
      <c r="C16" s="4" t="s">
        <v>40</v>
      </c>
      <c r="D16" s="5" t="s">
        <v>41</v>
      </c>
      <c r="E16" s="7" t="s">
        <v>10</v>
      </c>
      <c r="F16" t="s">
        <v>187</v>
      </c>
    </row>
    <row r="17" spans="1:6" ht="48" customHeight="1" x14ac:dyDescent="0.25">
      <c r="A17" s="8">
        <v>16</v>
      </c>
      <c r="B17" s="9" t="s">
        <v>42</v>
      </c>
      <c r="C17" s="9" t="s">
        <v>43</v>
      </c>
      <c r="D17" s="10" t="s">
        <v>44</v>
      </c>
      <c r="E17" s="12" t="s">
        <v>10</v>
      </c>
      <c r="F17" t="s">
        <v>188</v>
      </c>
    </row>
    <row r="18" spans="1:6" ht="48" customHeight="1" x14ac:dyDescent="0.25">
      <c r="A18" s="3">
        <v>17</v>
      </c>
      <c r="B18" s="4" t="s">
        <v>42</v>
      </c>
      <c r="C18" s="4" t="s">
        <v>46</v>
      </c>
      <c r="D18" s="5" t="s">
        <v>190</v>
      </c>
      <c r="E18" s="7" t="s">
        <v>10</v>
      </c>
      <c r="F18" t="s">
        <v>188</v>
      </c>
    </row>
    <row r="19" spans="1:6" ht="48" customHeight="1" x14ac:dyDescent="0.25">
      <c r="A19" s="8">
        <v>18</v>
      </c>
      <c r="B19" s="9" t="s">
        <v>42</v>
      </c>
      <c r="C19" s="9" t="s">
        <v>47</v>
      </c>
      <c r="D19" s="10" t="s">
        <v>191</v>
      </c>
      <c r="E19" s="12" t="s">
        <v>10</v>
      </c>
      <c r="F19" t="s">
        <v>188</v>
      </c>
    </row>
    <row r="20" spans="1:6" ht="48" customHeight="1" x14ac:dyDescent="0.25">
      <c r="A20" s="3">
        <v>19</v>
      </c>
      <c r="B20" s="4" t="s">
        <v>42</v>
      </c>
      <c r="C20" s="4" t="s">
        <v>48</v>
      </c>
      <c r="D20" s="5" t="s">
        <v>49</v>
      </c>
      <c r="E20" s="7" t="s">
        <v>10</v>
      </c>
      <c r="F20" t="s">
        <v>188</v>
      </c>
    </row>
    <row r="21" spans="1:6" ht="48" customHeight="1" x14ac:dyDescent="0.25">
      <c r="A21" s="8">
        <v>20</v>
      </c>
      <c r="B21" s="9" t="s">
        <v>42</v>
      </c>
      <c r="C21" s="9" t="s">
        <v>50</v>
      </c>
      <c r="D21" s="10" t="s">
        <v>192</v>
      </c>
      <c r="E21" s="12" t="s">
        <v>10</v>
      </c>
      <c r="F21" t="s">
        <v>188</v>
      </c>
    </row>
    <row r="22" spans="1:6" ht="48" customHeight="1" x14ac:dyDescent="0.25">
      <c r="A22" s="3">
        <v>21</v>
      </c>
      <c r="B22" s="4" t="s">
        <v>42</v>
      </c>
      <c r="C22" s="4" t="s">
        <v>51</v>
      </c>
      <c r="D22" s="5" t="s">
        <v>52</v>
      </c>
      <c r="E22" s="7" t="s">
        <v>10</v>
      </c>
      <c r="F22" t="s">
        <v>188</v>
      </c>
    </row>
    <row r="23" spans="1:6" ht="48" customHeight="1" x14ac:dyDescent="0.25">
      <c r="A23" s="8">
        <v>22</v>
      </c>
      <c r="B23" s="9" t="s">
        <v>53</v>
      </c>
      <c r="C23" s="9" t="s">
        <v>54</v>
      </c>
      <c r="D23" s="10" t="s">
        <v>194</v>
      </c>
      <c r="E23" s="12" t="s">
        <v>10</v>
      </c>
      <c r="F23" t="s">
        <v>188</v>
      </c>
    </row>
    <row r="24" spans="1:6" ht="48" customHeight="1" x14ac:dyDescent="0.25">
      <c r="A24" s="3">
        <v>23</v>
      </c>
      <c r="B24" s="4" t="s">
        <v>53</v>
      </c>
      <c r="C24" s="4" t="s">
        <v>56</v>
      </c>
      <c r="D24" s="5" t="s">
        <v>193</v>
      </c>
      <c r="E24" s="7" t="s">
        <v>10</v>
      </c>
      <c r="F24" t="s">
        <v>188</v>
      </c>
    </row>
    <row r="25" spans="1:6" ht="48" customHeight="1" x14ac:dyDescent="0.25">
      <c r="A25" s="8">
        <v>24</v>
      </c>
      <c r="B25" s="9" t="s">
        <v>53</v>
      </c>
      <c r="C25" s="9" t="s">
        <v>57</v>
      </c>
      <c r="D25" s="10" t="s">
        <v>58</v>
      </c>
      <c r="E25" s="12" t="s">
        <v>10</v>
      </c>
      <c r="F25" t="s">
        <v>188</v>
      </c>
    </row>
    <row r="26" spans="1:6" ht="48" customHeight="1" x14ac:dyDescent="0.25">
      <c r="A26" s="3">
        <v>25</v>
      </c>
      <c r="B26" s="4" t="s">
        <v>53</v>
      </c>
      <c r="C26" s="4" t="s">
        <v>59</v>
      </c>
      <c r="D26" s="5" t="s">
        <v>195</v>
      </c>
      <c r="E26" s="7" t="s">
        <v>10</v>
      </c>
      <c r="F26" t="s">
        <v>188</v>
      </c>
    </row>
    <row r="27" spans="1:6" ht="48" customHeight="1" x14ac:dyDescent="0.25">
      <c r="A27" s="8">
        <v>26</v>
      </c>
      <c r="B27" s="9" t="s">
        <v>60</v>
      </c>
      <c r="C27" s="9" t="s">
        <v>61</v>
      </c>
      <c r="D27" s="10" t="s">
        <v>196</v>
      </c>
      <c r="E27" s="12" t="s">
        <v>10</v>
      </c>
      <c r="F27" t="s">
        <v>188</v>
      </c>
    </row>
    <row r="28" spans="1:6" ht="48" customHeight="1" x14ac:dyDescent="0.25">
      <c r="A28" s="3">
        <v>27</v>
      </c>
      <c r="B28" s="4" t="s">
        <v>60</v>
      </c>
      <c r="C28" s="4" t="s">
        <v>63</v>
      </c>
      <c r="D28" s="5" t="s">
        <v>198</v>
      </c>
      <c r="E28" s="7" t="s">
        <v>10</v>
      </c>
      <c r="F28" t="s">
        <v>188</v>
      </c>
    </row>
    <row r="29" spans="1:6" ht="48" customHeight="1" x14ac:dyDescent="0.25">
      <c r="A29" s="8">
        <v>28</v>
      </c>
      <c r="B29" s="9" t="s">
        <v>60</v>
      </c>
      <c r="C29" s="9" t="s">
        <v>64</v>
      </c>
      <c r="D29" s="10" t="s">
        <v>197</v>
      </c>
      <c r="E29" s="12" t="s">
        <v>10</v>
      </c>
      <c r="F29" t="s">
        <v>188</v>
      </c>
    </row>
    <row r="30" spans="1:6" ht="48" customHeight="1" x14ac:dyDescent="0.25">
      <c r="A30" s="3">
        <v>29</v>
      </c>
      <c r="B30" s="4" t="s">
        <v>65</v>
      </c>
      <c r="C30" s="4" t="s">
        <v>66</v>
      </c>
      <c r="D30" s="5" t="s">
        <v>199</v>
      </c>
      <c r="E30" s="7" t="s">
        <v>10</v>
      </c>
      <c r="F30" t="s">
        <v>188</v>
      </c>
    </row>
    <row r="31" spans="1:6" ht="48" customHeight="1" x14ac:dyDescent="0.25">
      <c r="A31" s="8">
        <v>30</v>
      </c>
      <c r="B31" s="9" t="s">
        <v>65</v>
      </c>
      <c r="C31" s="9" t="s">
        <v>68</v>
      </c>
      <c r="D31" s="10" t="s">
        <v>200</v>
      </c>
      <c r="E31" s="12" t="s">
        <v>10</v>
      </c>
      <c r="F31" t="s">
        <v>188</v>
      </c>
    </row>
    <row r="32" spans="1:6" ht="48" customHeight="1" x14ac:dyDescent="0.25">
      <c r="A32" s="3">
        <v>31</v>
      </c>
      <c r="B32" s="4" t="s">
        <v>65</v>
      </c>
      <c r="C32" s="4" t="s">
        <v>69</v>
      </c>
      <c r="D32" s="5" t="s">
        <v>70</v>
      </c>
      <c r="E32" s="7" t="s">
        <v>10</v>
      </c>
      <c r="F32" t="s">
        <v>188</v>
      </c>
    </row>
    <row r="33" spans="1:6" ht="48" customHeight="1" x14ac:dyDescent="0.25">
      <c r="A33" s="8">
        <v>32</v>
      </c>
      <c r="B33" s="9" t="s">
        <v>65</v>
      </c>
      <c r="C33" s="9" t="s">
        <v>71</v>
      </c>
      <c r="D33" s="10" t="s">
        <v>201</v>
      </c>
      <c r="E33" s="12" t="s">
        <v>10</v>
      </c>
      <c r="F33" t="s">
        <v>188</v>
      </c>
    </row>
    <row r="34" spans="1:6" ht="48" customHeight="1" x14ac:dyDescent="0.25">
      <c r="A34" s="3">
        <v>33</v>
      </c>
      <c r="B34" s="4" t="s">
        <v>65</v>
      </c>
      <c r="C34" s="4" t="s">
        <v>72</v>
      </c>
      <c r="D34" s="5" t="s">
        <v>73</v>
      </c>
      <c r="E34" s="7" t="s">
        <v>10</v>
      </c>
      <c r="F34" t="s">
        <v>188</v>
      </c>
    </row>
    <row r="35" spans="1:6" ht="48" customHeight="1" x14ac:dyDescent="0.25">
      <c r="A35" s="8">
        <v>34</v>
      </c>
      <c r="B35" s="9" t="s">
        <v>65</v>
      </c>
      <c r="C35" s="9" t="s">
        <v>74</v>
      </c>
      <c r="D35" s="10" t="s">
        <v>202</v>
      </c>
      <c r="E35" s="12" t="s">
        <v>10</v>
      </c>
      <c r="F35" t="s">
        <v>188</v>
      </c>
    </row>
    <row r="36" spans="1:6" ht="48" customHeight="1" x14ac:dyDescent="0.25">
      <c r="A36" s="3">
        <v>35</v>
      </c>
      <c r="B36" s="4" t="s">
        <v>75</v>
      </c>
      <c r="C36" s="4" t="s">
        <v>76</v>
      </c>
      <c r="D36" s="5" t="s">
        <v>77</v>
      </c>
      <c r="E36" s="7" t="s">
        <v>10</v>
      </c>
      <c r="F36" t="s">
        <v>188</v>
      </c>
    </row>
    <row r="37" spans="1:6" ht="48" customHeight="1" x14ac:dyDescent="0.25">
      <c r="A37" s="8">
        <v>36</v>
      </c>
      <c r="B37" s="9" t="s">
        <v>75</v>
      </c>
      <c r="C37" s="9" t="s">
        <v>79</v>
      </c>
      <c r="D37" s="10" t="s">
        <v>203</v>
      </c>
      <c r="E37" s="12" t="s">
        <v>10</v>
      </c>
      <c r="F37" t="s">
        <v>188</v>
      </c>
    </row>
    <row r="38" spans="1:6" ht="48" customHeight="1" x14ac:dyDescent="0.25">
      <c r="A38" s="3">
        <v>37</v>
      </c>
      <c r="B38" s="4" t="s">
        <v>75</v>
      </c>
      <c r="C38" s="4" t="s">
        <v>80</v>
      </c>
      <c r="D38" s="5" t="s">
        <v>81</v>
      </c>
      <c r="E38" s="7" t="s">
        <v>10</v>
      </c>
      <c r="F38" t="s">
        <v>188</v>
      </c>
    </row>
    <row r="39" spans="1:6" ht="48" customHeight="1" x14ac:dyDescent="0.25">
      <c r="A39" s="8">
        <v>38</v>
      </c>
      <c r="B39" s="9" t="s">
        <v>75</v>
      </c>
      <c r="C39" s="9" t="s">
        <v>82</v>
      </c>
      <c r="D39" s="10" t="s">
        <v>83</v>
      </c>
      <c r="E39" s="12" t="s">
        <v>10</v>
      </c>
      <c r="F39" t="s">
        <v>187</v>
      </c>
    </row>
    <row r="40" spans="1:6" ht="48" customHeight="1" x14ac:dyDescent="0.25">
      <c r="A40" s="3">
        <v>39</v>
      </c>
      <c r="B40" s="4" t="s">
        <v>84</v>
      </c>
      <c r="C40" s="4" t="s">
        <v>85</v>
      </c>
      <c r="D40" s="5" t="s">
        <v>204</v>
      </c>
      <c r="E40" s="7" t="s">
        <v>10</v>
      </c>
      <c r="F40" t="s">
        <v>188</v>
      </c>
    </row>
    <row r="41" spans="1:6" ht="48" customHeight="1" x14ac:dyDescent="0.25">
      <c r="A41" s="8">
        <v>40</v>
      </c>
      <c r="B41" s="9" t="s">
        <v>84</v>
      </c>
      <c r="C41" s="9" t="s">
        <v>87</v>
      </c>
      <c r="D41" s="10" t="s">
        <v>88</v>
      </c>
      <c r="E41" s="12" t="s">
        <v>10</v>
      </c>
      <c r="F41" t="s">
        <v>187</v>
      </c>
    </row>
    <row r="42" spans="1:6" ht="48" customHeight="1" x14ac:dyDescent="0.25">
      <c r="A42" s="3">
        <v>41</v>
      </c>
      <c r="B42" s="4" t="s">
        <v>84</v>
      </c>
      <c r="C42" s="4" t="s">
        <v>89</v>
      </c>
      <c r="D42" s="5" t="s">
        <v>205</v>
      </c>
      <c r="E42" s="7" t="s">
        <v>10</v>
      </c>
      <c r="F42" t="s">
        <v>188</v>
      </c>
    </row>
    <row r="43" spans="1:6" ht="48" customHeight="1" x14ac:dyDescent="0.25">
      <c r="A43" s="8">
        <v>42</v>
      </c>
      <c r="B43" s="9" t="s">
        <v>84</v>
      </c>
      <c r="C43" s="9" t="s">
        <v>90</v>
      </c>
      <c r="D43" s="10" t="s">
        <v>206</v>
      </c>
      <c r="E43" s="12" t="s">
        <v>10</v>
      </c>
      <c r="F43" t="s">
        <v>188</v>
      </c>
    </row>
    <row r="44" spans="1:6" ht="48" customHeight="1" x14ac:dyDescent="0.25">
      <c r="A44" s="3">
        <v>43</v>
      </c>
      <c r="B44" s="4" t="s">
        <v>91</v>
      </c>
      <c r="C44" s="4" t="s">
        <v>92</v>
      </c>
      <c r="D44" s="5" t="s">
        <v>207</v>
      </c>
      <c r="E44" s="7" t="s">
        <v>10</v>
      </c>
      <c r="F44" t="s">
        <v>188</v>
      </c>
    </row>
    <row r="45" spans="1:6" ht="48" customHeight="1" x14ac:dyDescent="0.25">
      <c r="A45" s="8">
        <v>44</v>
      </c>
      <c r="B45" s="9" t="s">
        <v>91</v>
      </c>
      <c r="C45" s="9" t="s">
        <v>94</v>
      </c>
      <c r="D45" s="10" t="s">
        <v>95</v>
      </c>
      <c r="E45" s="12" t="s">
        <v>10</v>
      </c>
      <c r="F45" t="s">
        <v>188</v>
      </c>
    </row>
    <row r="46" spans="1:6" ht="48" customHeight="1" x14ac:dyDescent="0.25">
      <c r="A46" s="3">
        <v>45</v>
      </c>
      <c r="B46" s="4" t="s">
        <v>91</v>
      </c>
      <c r="C46" s="4" t="s">
        <v>96</v>
      </c>
      <c r="D46" s="5" t="s">
        <v>97</v>
      </c>
      <c r="E46" s="7" t="s">
        <v>98</v>
      </c>
      <c r="F46" t="s">
        <v>187</v>
      </c>
    </row>
    <row r="47" spans="1:6" ht="48" customHeight="1" x14ac:dyDescent="0.25">
      <c r="A47" s="8">
        <v>46</v>
      </c>
      <c r="B47" s="9" t="s">
        <v>91</v>
      </c>
      <c r="C47" s="9" t="s">
        <v>99</v>
      </c>
      <c r="D47" s="10" t="s">
        <v>100</v>
      </c>
      <c r="E47" s="12" t="s">
        <v>10</v>
      </c>
      <c r="F47" t="s">
        <v>187</v>
      </c>
    </row>
    <row r="48" spans="1:6" ht="48" customHeight="1" x14ac:dyDescent="0.25">
      <c r="A48" s="3">
        <v>47</v>
      </c>
      <c r="B48" s="4" t="s">
        <v>91</v>
      </c>
      <c r="C48" s="4" t="s">
        <v>101</v>
      </c>
      <c r="D48" s="5" t="s">
        <v>102</v>
      </c>
      <c r="E48" s="7" t="s">
        <v>10</v>
      </c>
      <c r="F48" t="s">
        <v>188</v>
      </c>
    </row>
    <row r="49" spans="1:6" ht="48" customHeight="1" x14ac:dyDescent="0.25">
      <c r="A49" s="8">
        <v>48</v>
      </c>
      <c r="B49" s="9" t="s">
        <v>91</v>
      </c>
      <c r="C49" s="9" t="s">
        <v>103</v>
      </c>
      <c r="D49" s="10" t="s">
        <v>104</v>
      </c>
      <c r="E49" s="12" t="s">
        <v>10</v>
      </c>
      <c r="F49" t="s">
        <v>187</v>
      </c>
    </row>
    <row r="50" spans="1:6" ht="48" customHeight="1" x14ac:dyDescent="0.25">
      <c r="A50" s="3">
        <v>49</v>
      </c>
      <c r="B50" s="4" t="s">
        <v>91</v>
      </c>
      <c r="C50" s="4" t="s">
        <v>105</v>
      </c>
      <c r="D50" s="5" t="s">
        <v>208</v>
      </c>
      <c r="E50" s="7" t="s">
        <v>10</v>
      </c>
      <c r="F50" t="s">
        <v>188</v>
      </c>
    </row>
    <row r="51" spans="1:6" ht="48" customHeight="1" x14ac:dyDescent="0.25">
      <c r="A51" s="8">
        <v>50</v>
      </c>
      <c r="B51" s="9" t="s">
        <v>91</v>
      </c>
      <c r="C51" s="9" t="s">
        <v>106</v>
      </c>
      <c r="D51" s="10" t="s">
        <v>107</v>
      </c>
      <c r="E51" s="12" t="s">
        <v>10</v>
      </c>
      <c r="F51" t="s">
        <v>187</v>
      </c>
    </row>
    <row r="52" spans="1:6" ht="48" customHeight="1" x14ac:dyDescent="0.25">
      <c r="A52" s="3">
        <v>51</v>
      </c>
      <c r="B52" s="4" t="s">
        <v>91</v>
      </c>
      <c r="C52" s="4" t="s">
        <v>108</v>
      </c>
      <c r="D52" s="5" t="s">
        <v>209</v>
      </c>
      <c r="E52" s="7" t="s">
        <v>10</v>
      </c>
      <c r="F52" t="s">
        <v>188</v>
      </c>
    </row>
    <row r="53" spans="1:6" ht="48" customHeight="1" x14ac:dyDescent="0.25">
      <c r="A53" s="8">
        <v>52</v>
      </c>
      <c r="B53" s="9" t="s">
        <v>91</v>
      </c>
      <c r="C53" s="9" t="s">
        <v>109</v>
      </c>
      <c r="D53" s="10" t="s">
        <v>110</v>
      </c>
      <c r="E53" s="12" t="s">
        <v>10</v>
      </c>
      <c r="F53" t="s">
        <v>187</v>
      </c>
    </row>
    <row r="54" spans="1:6" ht="48" customHeight="1" x14ac:dyDescent="0.25">
      <c r="A54" s="3">
        <v>53</v>
      </c>
      <c r="B54" s="4" t="s">
        <v>91</v>
      </c>
      <c r="C54" s="4" t="s">
        <v>111</v>
      </c>
      <c r="D54" s="5" t="s">
        <v>112</v>
      </c>
      <c r="E54" s="7" t="s">
        <v>10</v>
      </c>
      <c r="F54" t="s">
        <v>187</v>
      </c>
    </row>
    <row r="55" spans="1:6" ht="48" customHeight="1" x14ac:dyDescent="0.25">
      <c r="A55" s="8">
        <v>54</v>
      </c>
      <c r="B55" s="9" t="s">
        <v>91</v>
      </c>
      <c r="C55" s="9" t="s">
        <v>113</v>
      </c>
      <c r="D55" s="10" t="s">
        <v>114</v>
      </c>
      <c r="E55" s="12" t="s">
        <v>10</v>
      </c>
      <c r="F55" t="s">
        <v>187</v>
      </c>
    </row>
    <row r="56" spans="1:6" ht="48" customHeight="1" x14ac:dyDescent="0.25">
      <c r="A56" s="3">
        <v>55</v>
      </c>
      <c r="B56" s="4" t="s">
        <v>91</v>
      </c>
      <c r="C56" s="4" t="s">
        <v>115</v>
      </c>
      <c r="D56" s="5" t="s">
        <v>210</v>
      </c>
      <c r="E56" s="7" t="s">
        <v>10</v>
      </c>
      <c r="F56" t="s">
        <v>188</v>
      </c>
    </row>
    <row r="57" spans="1:6" ht="48" customHeight="1" x14ac:dyDescent="0.25">
      <c r="A57" s="8">
        <v>56</v>
      </c>
      <c r="B57" s="9" t="s">
        <v>91</v>
      </c>
      <c r="C57" s="9" t="s">
        <v>116</v>
      </c>
      <c r="D57" s="10" t="s">
        <v>117</v>
      </c>
      <c r="E57" s="12" t="s">
        <v>10</v>
      </c>
      <c r="F57" t="s">
        <v>187</v>
      </c>
    </row>
    <row r="58" spans="1:6" ht="48" customHeight="1" x14ac:dyDescent="0.25">
      <c r="A58" s="3">
        <v>57</v>
      </c>
      <c r="B58" s="4" t="s">
        <v>118</v>
      </c>
      <c r="C58" s="4" t="s">
        <v>119</v>
      </c>
      <c r="D58" s="5" t="s">
        <v>211</v>
      </c>
      <c r="E58" s="7" t="s">
        <v>10</v>
      </c>
      <c r="F58" t="s">
        <v>188</v>
      </c>
    </row>
    <row r="59" spans="1:6" ht="48" customHeight="1" x14ac:dyDescent="0.25">
      <c r="A59" s="8">
        <v>58</v>
      </c>
      <c r="B59" s="9" t="s">
        <v>118</v>
      </c>
      <c r="C59" s="9" t="s">
        <v>121</v>
      </c>
      <c r="D59" s="10" t="s">
        <v>212</v>
      </c>
      <c r="E59" s="12" t="s">
        <v>10</v>
      </c>
      <c r="F59" t="s">
        <v>188</v>
      </c>
    </row>
    <row r="60" spans="1:6" ht="48" customHeight="1" x14ac:dyDescent="0.25">
      <c r="A60" s="3">
        <v>59</v>
      </c>
      <c r="B60" s="4" t="s">
        <v>118</v>
      </c>
      <c r="C60" s="4" t="s">
        <v>122</v>
      </c>
      <c r="D60" s="5" t="s">
        <v>123</v>
      </c>
      <c r="E60" s="7" t="s">
        <v>10</v>
      </c>
      <c r="F60" t="s">
        <v>188</v>
      </c>
    </row>
    <row r="61" spans="1:6" ht="48" customHeight="1" x14ac:dyDescent="0.25">
      <c r="A61" s="8">
        <v>60</v>
      </c>
      <c r="B61" s="9" t="s">
        <v>118</v>
      </c>
      <c r="C61" s="9" t="s">
        <v>124</v>
      </c>
      <c r="D61" s="10" t="s">
        <v>213</v>
      </c>
      <c r="E61" s="12" t="s">
        <v>10</v>
      </c>
      <c r="F61" t="s">
        <v>188</v>
      </c>
    </row>
    <row r="62" spans="1:6" ht="48" customHeight="1" x14ac:dyDescent="0.25">
      <c r="A62" s="3">
        <v>61</v>
      </c>
      <c r="B62" s="4" t="s">
        <v>125</v>
      </c>
      <c r="C62" s="4" t="s">
        <v>126</v>
      </c>
      <c r="D62" s="5" t="s">
        <v>226</v>
      </c>
      <c r="E62" s="7" t="s">
        <v>10</v>
      </c>
      <c r="F62" t="s">
        <v>188</v>
      </c>
    </row>
    <row r="63" spans="1:6" ht="48" customHeight="1" x14ac:dyDescent="0.25">
      <c r="A63" s="8">
        <v>62</v>
      </c>
      <c r="B63" s="9" t="s">
        <v>125</v>
      </c>
      <c r="C63" s="9" t="s">
        <v>128</v>
      </c>
      <c r="D63" s="10" t="s">
        <v>129</v>
      </c>
      <c r="E63" s="12" t="s">
        <v>98</v>
      </c>
      <c r="F63" t="s">
        <v>187</v>
      </c>
    </row>
    <row r="64" spans="1:6" ht="48" customHeight="1" x14ac:dyDescent="0.25">
      <c r="A64" s="3">
        <v>63</v>
      </c>
      <c r="B64" s="4" t="s">
        <v>130</v>
      </c>
      <c r="C64" s="4" t="s">
        <v>131</v>
      </c>
      <c r="D64" s="5" t="s">
        <v>214</v>
      </c>
      <c r="E64" s="7" t="s">
        <v>10</v>
      </c>
      <c r="F64" t="s">
        <v>188</v>
      </c>
    </row>
    <row r="65" spans="1:6" ht="48" customHeight="1" x14ac:dyDescent="0.25">
      <c r="A65" s="8">
        <v>64</v>
      </c>
      <c r="B65" s="9" t="s">
        <v>130</v>
      </c>
      <c r="C65" s="9" t="s">
        <v>133</v>
      </c>
      <c r="D65" s="10" t="s">
        <v>215</v>
      </c>
      <c r="E65" s="12" t="s">
        <v>10</v>
      </c>
      <c r="F65" t="s">
        <v>188</v>
      </c>
    </row>
    <row r="66" spans="1:6" ht="48" customHeight="1" x14ac:dyDescent="0.25">
      <c r="A66" s="3">
        <v>65</v>
      </c>
      <c r="B66" s="4" t="s">
        <v>134</v>
      </c>
      <c r="C66" s="4" t="s">
        <v>135</v>
      </c>
      <c r="D66" s="5" t="s">
        <v>136</v>
      </c>
      <c r="E66" s="7" t="s">
        <v>10</v>
      </c>
      <c r="F66" t="s">
        <v>188</v>
      </c>
    </row>
    <row r="67" spans="1:6" ht="48" customHeight="1" x14ac:dyDescent="0.25">
      <c r="A67" s="8">
        <v>66</v>
      </c>
      <c r="B67" s="9" t="s">
        <v>134</v>
      </c>
      <c r="C67" s="9" t="s">
        <v>138</v>
      </c>
      <c r="D67" s="10" t="s">
        <v>216</v>
      </c>
      <c r="E67" s="12" t="s">
        <v>10</v>
      </c>
      <c r="F67" t="s">
        <v>188</v>
      </c>
    </row>
    <row r="68" spans="1:6" ht="48" customHeight="1" x14ac:dyDescent="0.25">
      <c r="A68" s="3">
        <v>67</v>
      </c>
      <c r="B68" s="4" t="s">
        <v>139</v>
      </c>
      <c r="C68" s="4" t="s">
        <v>140</v>
      </c>
      <c r="D68" s="5" t="s">
        <v>217</v>
      </c>
      <c r="E68" s="7" t="s">
        <v>10</v>
      </c>
      <c r="F68" t="s">
        <v>188</v>
      </c>
    </row>
    <row r="69" spans="1:6" ht="48" customHeight="1" x14ac:dyDescent="0.25">
      <c r="A69" s="8">
        <v>68</v>
      </c>
      <c r="B69" s="9" t="s">
        <v>139</v>
      </c>
      <c r="C69" s="9" t="s">
        <v>142</v>
      </c>
      <c r="D69" s="10" t="s">
        <v>218</v>
      </c>
      <c r="E69" s="12" t="s">
        <v>10</v>
      </c>
      <c r="F69" t="s">
        <v>188</v>
      </c>
    </row>
    <row r="70" spans="1:6" ht="48" customHeight="1" x14ac:dyDescent="0.25">
      <c r="A70" s="3">
        <v>69</v>
      </c>
      <c r="B70" s="4" t="s">
        <v>139</v>
      </c>
      <c r="C70" s="4" t="s">
        <v>143</v>
      </c>
      <c r="D70" s="5" t="s">
        <v>144</v>
      </c>
      <c r="E70" s="7" t="s">
        <v>10</v>
      </c>
      <c r="F70" t="s">
        <v>188</v>
      </c>
    </row>
    <row r="71" spans="1:6" ht="48" customHeight="1" x14ac:dyDescent="0.25">
      <c r="A71" s="8">
        <v>70</v>
      </c>
      <c r="B71" s="9" t="s">
        <v>139</v>
      </c>
      <c r="C71" s="9" t="s">
        <v>145</v>
      </c>
      <c r="D71" s="10" t="s">
        <v>219</v>
      </c>
      <c r="E71" s="12" t="s">
        <v>10</v>
      </c>
      <c r="F71" t="s">
        <v>188</v>
      </c>
    </row>
    <row r="72" spans="1:6" ht="48" customHeight="1" x14ac:dyDescent="0.25">
      <c r="A72" s="3">
        <v>71</v>
      </c>
      <c r="B72" s="4" t="s">
        <v>139</v>
      </c>
      <c r="C72" s="4" t="s">
        <v>146</v>
      </c>
      <c r="D72" s="5" t="s">
        <v>220</v>
      </c>
      <c r="E72" s="7" t="s">
        <v>10</v>
      </c>
      <c r="F72" t="s">
        <v>188</v>
      </c>
    </row>
    <row r="73" spans="1:6" ht="48" customHeight="1" x14ac:dyDescent="0.25">
      <c r="A73" s="8">
        <v>72</v>
      </c>
      <c r="B73" s="9" t="s">
        <v>139</v>
      </c>
      <c r="C73" s="9" t="s">
        <v>147</v>
      </c>
      <c r="D73" s="10" t="s">
        <v>221</v>
      </c>
      <c r="E73" s="12" t="s">
        <v>10</v>
      </c>
      <c r="F73" t="s">
        <v>188</v>
      </c>
    </row>
    <row r="74" spans="1:6" ht="48" customHeight="1" x14ac:dyDescent="0.25">
      <c r="A74" s="3">
        <v>73</v>
      </c>
      <c r="B74" s="4" t="s">
        <v>148</v>
      </c>
      <c r="C74" s="4" t="s">
        <v>149</v>
      </c>
      <c r="D74" s="5" t="s">
        <v>227</v>
      </c>
      <c r="E74" s="7" t="s">
        <v>10</v>
      </c>
      <c r="F74" t="s">
        <v>188</v>
      </c>
    </row>
    <row r="75" spans="1:6" ht="48" customHeight="1" x14ac:dyDescent="0.25">
      <c r="A75" s="8">
        <v>74</v>
      </c>
      <c r="B75" s="9" t="s">
        <v>148</v>
      </c>
      <c r="C75" s="9" t="s">
        <v>151</v>
      </c>
      <c r="D75" s="10" t="s">
        <v>152</v>
      </c>
      <c r="E75" s="12" t="s">
        <v>10</v>
      </c>
      <c r="F75" t="s">
        <v>187</v>
      </c>
    </row>
    <row r="76" spans="1:6" ht="48" customHeight="1" x14ac:dyDescent="0.25">
      <c r="A76" s="3">
        <v>75</v>
      </c>
      <c r="B76" s="4" t="s">
        <v>148</v>
      </c>
      <c r="C76" s="4" t="s">
        <v>153</v>
      </c>
      <c r="D76" s="5" t="s">
        <v>228</v>
      </c>
      <c r="E76" s="7" t="s">
        <v>10</v>
      </c>
      <c r="F76" t="s">
        <v>188</v>
      </c>
    </row>
    <row r="77" spans="1:6" ht="48" customHeight="1" x14ac:dyDescent="0.25">
      <c r="A77" s="8">
        <v>76</v>
      </c>
      <c r="B77" s="9" t="s">
        <v>154</v>
      </c>
      <c r="C77" s="9" t="s">
        <v>155</v>
      </c>
      <c r="D77" s="10" t="s">
        <v>156</v>
      </c>
      <c r="E77" s="12" t="s">
        <v>10</v>
      </c>
      <c r="F77" t="s">
        <v>188</v>
      </c>
    </row>
    <row r="78" spans="1:6" ht="48" customHeight="1" x14ac:dyDescent="0.25">
      <c r="A78" s="3">
        <v>77</v>
      </c>
      <c r="B78" s="4" t="s">
        <v>154</v>
      </c>
      <c r="C78" s="4" t="s">
        <v>158</v>
      </c>
      <c r="D78" s="5" t="s">
        <v>159</v>
      </c>
      <c r="E78" s="7" t="s">
        <v>10</v>
      </c>
      <c r="F78" t="s">
        <v>187</v>
      </c>
    </row>
    <row r="79" spans="1:6" ht="48" customHeight="1" x14ac:dyDescent="0.25">
      <c r="A79" s="8">
        <v>78</v>
      </c>
      <c r="B79" s="9" t="s">
        <v>154</v>
      </c>
      <c r="C79" s="9" t="s">
        <v>160</v>
      </c>
      <c r="D79" s="10" t="s">
        <v>161</v>
      </c>
      <c r="E79" s="12" t="s">
        <v>10</v>
      </c>
      <c r="F79" t="s">
        <v>187</v>
      </c>
    </row>
    <row r="80" spans="1:6" ht="48" customHeight="1" x14ac:dyDescent="0.25">
      <c r="A80" s="3">
        <v>79</v>
      </c>
      <c r="B80" s="4" t="s">
        <v>154</v>
      </c>
      <c r="C80" s="4" t="s">
        <v>162</v>
      </c>
      <c r="D80" s="5" t="s">
        <v>163</v>
      </c>
      <c r="E80" s="7" t="s">
        <v>10</v>
      </c>
      <c r="F80" t="s">
        <v>187</v>
      </c>
    </row>
    <row r="81" spans="1:6" ht="48" customHeight="1" x14ac:dyDescent="0.25">
      <c r="A81" s="8">
        <v>80</v>
      </c>
      <c r="B81" s="9" t="s">
        <v>154</v>
      </c>
      <c r="C81" s="9" t="s">
        <v>164</v>
      </c>
      <c r="D81" s="10" t="s">
        <v>165</v>
      </c>
      <c r="E81" s="12" t="s">
        <v>10</v>
      </c>
      <c r="F81" t="s">
        <v>187</v>
      </c>
    </row>
    <row r="82" spans="1:6" ht="48" customHeight="1" x14ac:dyDescent="0.25">
      <c r="A82" s="3">
        <v>81</v>
      </c>
      <c r="B82" s="4" t="s">
        <v>154</v>
      </c>
      <c r="C82" s="4" t="s">
        <v>166</v>
      </c>
      <c r="D82" s="5" t="s">
        <v>222</v>
      </c>
      <c r="E82" s="7" t="s">
        <v>10</v>
      </c>
      <c r="F82" t="s">
        <v>188</v>
      </c>
    </row>
    <row r="83" spans="1:6" ht="48" customHeight="1" x14ac:dyDescent="0.25">
      <c r="A83" s="8">
        <v>82</v>
      </c>
      <c r="B83" s="9" t="s">
        <v>154</v>
      </c>
      <c r="C83" s="9" t="s">
        <v>167</v>
      </c>
      <c r="D83" s="10" t="s">
        <v>168</v>
      </c>
      <c r="E83" s="12" t="s">
        <v>10</v>
      </c>
      <c r="F83" t="s">
        <v>187</v>
      </c>
    </row>
    <row r="84" spans="1:6" ht="48" customHeight="1" x14ac:dyDescent="0.25">
      <c r="A84" s="3">
        <v>83</v>
      </c>
      <c r="B84" s="4" t="s">
        <v>169</v>
      </c>
      <c r="C84" s="4" t="s">
        <v>170</v>
      </c>
      <c r="D84" s="5" t="s">
        <v>223</v>
      </c>
      <c r="E84" s="7" t="s">
        <v>10</v>
      </c>
      <c r="F84" t="s">
        <v>188</v>
      </c>
    </row>
    <row r="85" spans="1:6" ht="48" customHeight="1" x14ac:dyDescent="0.25">
      <c r="A85" s="8">
        <v>84</v>
      </c>
      <c r="B85" s="9" t="s">
        <v>169</v>
      </c>
      <c r="C85" s="9" t="s">
        <v>172</v>
      </c>
      <c r="D85" s="10" t="s">
        <v>173</v>
      </c>
      <c r="E85" s="12" t="s">
        <v>10</v>
      </c>
      <c r="F85" t="s">
        <v>188</v>
      </c>
    </row>
    <row r="86" spans="1:6" ht="48" customHeight="1" x14ac:dyDescent="0.25">
      <c r="A86" s="3">
        <v>85</v>
      </c>
      <c r="B86" s="4" t="s">
        <v>169</v>
      </c>
      <c r="C86" s="4" t="s">
        <v>174</v>
      </c>
      <c r="D86" s="5" t="s">
        <v>224</v>
      </c>
      <c r="E86" s="7" t="s">
        <v>10</v>
      </c>
      <c r="F86" t="s">
        <v>188</v>
      </c>
    </row>
    <row r="87" spans="1:6" ht="48" customHeight="1" x14ac:dyDescent="0.25">
      <c r="A87" s="8">
        <v>86</v>
      </c>
      <c r="B87" s="9" t="s">
        <v>175</v>
      </c>
      <c r="C87" s="9" t="s">
        <v>175</v>
      </c>
      <c r="D87" s="10" t="s">
        <v>225</v>
      </c>
      <c r="E87" s="12" t="s">
        <v>10</v>
      </c>
      <c r="F87" t="s">
        <v>188</v>
      </c>
    </row>
  </sheetData>
  <autoFilter ref="A1:E87" xr:uid="{00000000-0009-0000-0000-000000000000}"/>
  <conditionalFormatting sqref="E2:E87">
    <cfRule type="cellIs" dxfId="2" priority="1" stopIfTrue="1" operator="equal">
      <formula>"Listo"</formula>
    </cfRule>
    <cfRule type="cellIs" dxfId="1" priority="2" stopIfTrue="1" operator="equal">
      <formula>"Revisar / Ajustar"</formula>
    </cfRule>
    <cfRule type="cellIs" dxfId="0" priority="3" stopIfTrue="1" operator="equal">
      <formula>"Aprobado"</formula>
    </cfRule>
  </conditionalFormatting>
  <dataValidations count="1">
    <dataValidation type="list" allowBlank="1" sqref="E2:E87" xr:uid="{00000000-0002-0000-0000-000000000000}">
      <formula1>"Listo,Revisar / Ajustar,Aprobado"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25"/>
  <sheetViews>
    <sheetView workbookViewId="0">
      <pane xSplit="2" ySplit="4" topLeftCell="C11" activePane="bottomRight" state="frozen"/>
      <selection pane="topRight"/>
      <selection pane="bottomLeft"/>
      <selection pane="bottomRight" sqref="A1:E1"/>
    </sheetView>
  </sheetViews>
  <sheetFormatPr baseColWidth="10" defaultColWidth="9.140625" defaultRowHeight="15" x14ac:dyDescent="0.25"/>
  <cols>
    <col min="1" max="1" width="7" customWidth="1"/>
    <col min="2" max="2" width="34" customWidth="1"/>
    <col min="3" max="3" width="80" customWidth="1"/>
    <col min="4" max="4" width="20" customWidth="1"/>
    <col min="5" max="5" width="18" customWidth="1"/>
  </cols>
  <sheetData>
    <row r="1" spans="1:5" ht="27.95" customHeight="1" x14ac:dyDescent="0.25">
      <c r="A1" s="21" t="s">
        <v>178</v>
      </c>
      <c r="B1" s="20"/>
      <c r="C1" s="20"/>
      <c r="D1" s="20"/>
      <c r="E1" s="20"/>
    </row>
    <row r="2" spans="1:5" ht="20.100000000000001" customHeight="1" x14ac:dyDescent="0.25">
      <c r="A2" s="19" t="s">
        <v>179</v>
      </c>
      <c r="B2" s="20"/>
      <c r="C2" s="20"/>
      <c r="D2" s="20"/>
      <c r="E2" s="20"/>
    </row>
    <row r="3" spans="1:5" ht="9.9499999999999993" customHeight="1" x14ac:dyDescent="0.25"/>
    <row r="4" spans="1:5" ht="27.95" customHeight="1" x14ac:dyDescent="0.25">
      <c r="A4" s="1" t="s">
        <v>180</v>
      </c>
      <c r="B4" s="2" t="s">
        <v>1</v>
      </c>
      <c r="C4" s="2" t="s">
        <v>181</v>
      </c>
      <c r="D4" s="1" t="s">
        <v>182</v>
      </c>
      <c r="E4" s="1" t="s">
        <v>4</v>
      </c>
    </row>
    <row r="5" spans="1:5" ht="38.1" customHeight="1" x14ac:dyDescent="0.25">
      <c r="A5" s="3">
        <v>1</v>
      </c>
      <c r="B5" s="4" t="s">
        <v>6</v>
      </c>
      <c r="C5" s="5" t="s">
        <v>9</v>
      </c>
      <c r="D5" s="16">
        <f>COUNTIF('Catálogo Subcategorías'!$B$2:$B$87, B5)</f>
        <v>3</v>
      </c>
      <c r="E5" s="6">
        <f t="shared" ref="E5:E24" si="0">LEN(C5)</f>
        <v>208</v>
      </c>
    </row>
    <row r="6" spans="1:5" ht="38.1" customHeight="1" x14ac:dyDescent="0.25">
      <c r="A6" s="8">
        <v>2</v>
      </c>
      <c r="B6" s="9" t="s">
        <v>15</v>
      </c>
      <c r="C6" s="10" t="s">
        <v>18</v>
      </c>
      <c r="D6" s="17">
        <f>COUNTIF('Catálogo Subcategorías'!$B$2:$B$87, B6)</f>
        <v>3</v>
      </c>
      <c r="E6" s="11">
        <f t="shared" si="0"/>
        <v>193</v>
      </c>
    </row>
    <row r="7" spans="1:5" ht="38.1" customHeight="1" x14ac:dyDescent="0.25">
      <c r="A7" s="3">
        <v>3</v>
      </c>
      <c r="B7" s="4" t="s">
        <v>21</v>
      </c>
      <c r="C7" s="5" t="s">
        <v>24</v>
      </c>
      <c r="D7" s="16">
        <f>COUNTIF('Catálogo Subcategorías'!$B$2:$B$87, B7)</f>
        <v>4</v>
      </c>
      <c r="E7" s="6">
        <f t="shared" si="0"/>
        <v>161</v>
      </c>
    </row>
    <row r="8" spans="1:5" ht="38.1" customHeight="1" x14ac:dyDescent="0.25">
      <c r="A8" s="8">
        <v>4</v>
      </c>
      <c r="B8" s="9" t="s">
        <v>30</v>
      </c>
      <c r="C8" s="10" t="s">
        <v>33</v>
      </c>
      <c r="D8" s="17">
        <f>COUNTIF('Catálogo Subcategorías'!$B$2:$B$87, B8)</f>
        <v>5</v>
      </c>
      <c r="E8" s="11">
        <f t="shared" si="0"/>
        <v>196</v>
      </c>
    </row>
    <row r="9" spans="1:5" ht="38.1" customHeight="1" x14ac:dyDescent="0.25">
      <c r="A9" s="3">
        <v>5</v>
      </c>
      <c r="B9" s="4" t="s">
        <v>42</v>
      </c>
      <c r="C9" s="5" t="s">
        <v>45</v>
      </c>
      <c r="D9" s="16">
        <f>COUNTIF('Catálogo Subcategorías'!$B$2:$B$87, B9)</f>
        <v>6</v>
      </c>
      <c r="E9" s="6">
        <f t="shared" si="0"/>
        <v>185</v>
      </c>
    </row>
    <row r="10" spans="1:5" ht="38.1" customHeight="1" x14ac:dyDescent="0.25">
      <c r="A10" s="8">
        <v>6</v>
      </c>
      <c r="B10" s="9" t="s">
        <v>53</v>
      </c>
      <c r="C10" s="10" t="s">
        <v>55</v>
      </c>
      <c r="D10" s="17">
        <f>COUNTIF('Catálogo Subcategorías'!$B$2:$B$87, B10)</f>
        <v>4</v>
      </c>
      <c r="E10" s="11">
        <f t="shared" si="0"/>
        <v>180</v>
      </c>
    </row>
    <row r="11" spans="1:5" ht="38.1" customHeight="1" x14ac:dyDescent="0.25">
      <c r="A11" s="3">
        <v>7</v>
      </c>
      <c r="B11" s="4" t="s">
        <v>60</v>
      </c>
      <c r="C11" s="5" t="s">
        <v>62</v>
      </c>
      <c r="D11" s="16">
        <f>COUNTIF('Catálogo Subcategorías'!$B$2:$B$87, B11)</f>
        <v>3</v>
      </c>
      <c r="E11" s="6">
        <f t="shared" si="0"/>
        <v>185</v>
      </c>
    </row>
    <row r="12" spans="1:5" ht="38.1" customHeight="1" x14ac:dyDescent="0.25">
      <c r="A12" s="8">
        <v>8</v>
      </c>
      <c r="B12" s="9" t="s">
        <v>65</v>
      </c>
      <c r="C12" s="10" t="s">
        <v>67</v>
      </c>
      <c r="D12" s="17">
        <f>COUNTIF('Catálogo Subcategorías'!$B$2:$B$87, B12)</f>
        <v>6</v>
      </c>
      <c r="E12" s="11">
        <f t="shared" si="0"/>
        <v>158</v>
      </c>
    </row>
    <row r="13" spans="1:5" ht="38.1" customHeight="1" x14ac:dyDescent="0.25">
      <c r="A13" s="3">
        <v>9</v>
      </c>
      <c r="B13" s="4" t="s">
        <v>75</v>
      </c>
      <c r="C13" s="5" t="s">
        <v>78</v>
      </c>
      <c r="D13" s="16">
        <f>COUNTIF('Catálogo Subcategorías'!$B$2:$B$87, B13)</f>
        <v>4</v>
      </c>
      <c r="E13" s="6">
        <f t="shared" si="0"/>
        <v>174</v>
      </c>
    </row>
    <row r="14" spans="1:5" ht="38.1" customHeight="1" x14ac:dyDescent="0.25">
      <c r="A14" s="8">
        <v>10</v>
      </c>
      <c r="B14" s="9" t="s">
        <v>84</v>
      </c>
      <c r="C14" s="10" t="s">
        <v>86</v>
      </c>
      <c r="D14" s="17">
        <f>COUNTIF('Catálogo Subcategorías'!$B$2:$B$87, B14)</f>
        <v>4</v>
      </c>
      <c r="E14" s="11">
        <f t="shared" si="0"/>
        <v>170</v>
      </c>
    </row>
    <row r="15" spans="1:5" ht="38.1" customHeight="1" x14ac:dyDescent="0.25">
      <c r="A15" s="3">
        <v>11</v>
      </c>
      <c r="B15" s="4" t="s">
        <v>91</v>
      </c>
      <c r="C15" s="5" t="s">
        <v>93</v>
      </c>
      <c r="D15" s="16">
        <f>COUNTIF('Catálogo Subcategorías'!$B$2:$B$87, B15)</f>
        <v>14</v>
      </c>
      <c r="E15" s="6">
        <f t="shared" si="0"/>
        <v>181</v>
      </c>
    </row>
    <row r="16" spans="1:5" ht="38.1" customHeight="1" x14ac:dyDescent="0.25">
      <c r="A16" s="8">
        <v>12</v>
      </c>
      <c r="B16" s="9" t="s">
        <v>118</v>
      </c>
      <c r="C16" s="10" t="s">
        <v>120</v>
      </c>
      <c r="D16" s="17">
        <f>COUNTIF('Catálogo Subcategorías'!$B$2:$B$87, B16)</f>
        <v>4</v>
      </c>
      <c r="E16" s="11">
        <f t="shared" si="0"/>
        <v>158</v>
      </c>
    </row>
    <row r="17" spans="1:5" ht="38.1" customHeight="1" x14ac:dyDescent="0.25">
      <c r="A17" s="3">
        <v>13</v>
      </c>
      <c r="B17" s="4" t="s">
        <v>125</v>
      </c>
      <c r="C17" s="5" t="s">
        <v>127</v>
      </c>
      <c r="D17" s="16">
        <f>COUNTIF('Catálogo Subcategorías'!$B$2:$B$87, B17)</f>
        <v>2</v>
      </c>
      <c r="E17" s="6">
        <f t="shared" si="0"/>
        <v>169</v>
      </c>
    </row>
    <row r="18" spans="1:5" ht="38.1" customHeight="1" x14ac:dyDescent="0.25">
      <c r="A18" s="8">
        <v>14</v>
      </c>
      <c r="B18" s="9" t="s">
        <v>130</v>
      </c>
      <c r="C18" s="10" t="s">
        <v>132</v>
      </c>
      <c r="D18" s="17">
        <f>COUNTIF('Catálogo Subcategorías'!$B$2:$B$87, B18)</f>
        <v>2</v>
      </c>
      <c r="E18" s="11">
        <f t="shared" si="0"/>
        <v>158</v>
      </c>
    </row>
    <row r="19" spans="1:5" ht="38.1" customHeight="1" x14ac:dyDescent="0.25">
      <c r="A19" s="3">
        <v>15</v>
      </c>
      <c r="B19" s="4" t="s">
        <v>134</v>
      </c>
      <c r="C19" s="5" t="s">
        <v>137</v>
      </c>
      <c r="D19" s="16">
        <f>COUNTIF('Catálogo Subcategorías'!$B$2:$B$87, B19)</f>
        <v>2</v>
      </c>
      <c r="E19" s="6">
        <f t="shared" si="0"/>
        <v>183</v>
      </c>
    </row>
    <row r="20" spans="1:5" ht="38.1" customHeight="1" x14ac:dyDescent="0.25">
      <c r="A20" s="8">
        <v>16</v>
      </c>
      <c r="B20" s="9" t="s">
        <v>139</v>
      </c>
      <c r="C20" s="10" t="s">
        <v>141</v>
      </c>
      <c r="D20" s="17">
        <f>COUNTIF('Catálogo Subcategorías'!$B$2:$B$87, B20)</f>
        <v>6</v>
      </c>
      <c r="E20" s="11">
        <f t="shared" si="0"/>
        <v>173</v>
      </c>
    </row>
    <row r="21" spans="1:5" ht="38.1" customHeight="1" x14ac:dyDescent="0.25">
      <c r="A21" s="3">
        <v>17</v>
      </c>
      <c r="B21" s="4" t="s">
        <v>148</v>
      </c>
      <c r="C21" s="5" t="s">
        <v>150</v>
      </c>
      <c r="D21" s="16">
        <f>COUNTIF('Catálogo Subcategorías'!$B$2:$B$87, B21)</f>
        <v>3</v>
      </c>
      <c r="E21" s="6">
        <f t="shared" si="0"/>
        <v>169</v>
      </c>
    </row>
    <row r="22" spans="1:5" ht="38.1" customHeight="1" x14ac:dyDescent="0.25">
      <c r="A22" s="8">
        <v>18</v>
      </c>
      <c r="B22" s="9" t="s">
        <v>154</v>
      </c>
      <c r="C22" s="10" t="s">
        <v>157</v>
      </c>
      <c r="D22" s="17">
        <f>COUNTIF('Catálogo Subcategorías'!$B$2:$B$87, B22)</f>
        <v>7</v>
      </c>
      <c r="E22" s="11">
        <f t="shared" si="0"/>
        <v>150</v>
      </c>
    </row>
    <row r="23" spans="1:5" ht="38.1" customHeight="1" x14ac:dyDescent="0.25">
      <c r="A23" s="3">
        <v>19</v>
      </c>
      <c r="B23" s="4" t="s">
        <v>169</v>
      </c>
      <c r="C23" s="5" t="s">
        <v>171</v>
      </c>
      <c r="D23" s="16">
        <f>COUNTIF('Catálogo Subcategorías'!$B$2:$B$87, B23)</f>
        <v>3</v>
      </c>
      <c r="E23" s="6">
        <f t="shared" si="0"/>
        <v>180</v>
      </c>
    </row>
    <row r="24" spans="1:5" ht="38.1" customHeight="1" x14ac:dyDescent="0.25">
      <c r="A24" s="8">
        <v>20</v>
      </c>
      <c r="B24" s="9" t="s">
        <v>175</v>
      </c>
      <c r="C24" s="10" t="s">
        <v>176</v>
      </c>
      <c r="D24" s="17">
        <f>COUNTIF('Catálogo Subcategorías'!$B$2:$B$87, B24)</f>
        <v>1</v>
      </c>
      <c r="E24" s="11">
        <f t="shared" si="0"/>
        <v>169</v>
      </c>
    </row>
    <row r="25" spans="1:5" ht="26.1" customHeight="1" x14ac:dyDescent="0.25">
      <c r="A25" s="13" t="s">
        <v>177</v>
      </c>
      <c r="B25" s="13">
        <f>COUNTA(B5:B24)</f>
        <v>20</v>
      </c>
      <c r="C25" s="14" t="s">
        <v>183</v>
      </c>
      <c r="D25" s="15">
        <f>SUM(D5:D24)</f>
        <v>86</v>
      </c>
      <c r="E25" s="15">
        <f>AVERAGE(E5:E24)</f>
        <v>175</v>
      </c>
    </row>
  </sheetData>
  <mergeCells count="2">
    <mergeCell ref="A2:E2"/>
    <mergeCell ref="A1:E1"/>
  </mergeCells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Catálogo Subcategorías</vt:lpstr>
      <vt:lpstr>Copys por Categoría y Resumen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Federico Domissi</cp:lastModifiedBy>
  <dcterms:created xsi:type="dcterms:W3CDTF">2026-10-22T15:35:44Z</dcterms:created>
  <dcterms:modified xsi:type="dcterms:W3CDTF">2026-10-26T18:16:35Z</dcterms:modified>
</cp:coreProperties>
</file>